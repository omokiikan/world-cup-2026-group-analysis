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OMO KIIKAN\PROJECT\"/>
    </mc:Choice>
  </mc:AlternateContent>
  <xr:revisionPtr revIDLastSave="0" documentId="13_ncr:1_{335B82E7-0893-444B-B6F5-7EDEBB4E7F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m_Teams" sheetId="1" r:id="rId1"/>
    <sheet name="Dim_Ranking" sheetId="2" r:id="rId2"/>
    <sheet name="Fact_Matches" sheetId="3" r:id="rId3"/>
    <sheet name="Dim_Gro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1" i="4"/>
  <c r="D30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F6" i="1"/>
  <c r="F7" i="1"/>
  <c r="F8" i="1"/>
  <c r="F9" i="1"/>
  <c r="F10" i="1"/>
  <c r="F11" i="1"/>
  <c r="E12" i="1"/>
</calcChain>
</file>

<file path=xl/sharedStrings.xml><?xml version="1.0" encoding="utf-8"?>
<sst xmlns="http://schemas.openxmlformats.org/spreadsheetml/2006/main" count="562" uniqueCount="91">
  <si>
    <t>Team</t>
  </si>
  <si>
    <t>Continent</t>
  </si>
  <si>
    <t>Mexico</t>
  </si>
  <si>
    <t>North America</t>
  </si>
  <si>
    <t>South Africa</t>
  </si>
  <si>
    <t>Africa</t>
  </si>
  <si>
    <t>South Korea</t>
  </si>
  <si>
    <t>Asia</t>
  </si>
  <si>
    <t>Czechia</t>
  </si>
  <si>
    <t>Europe</t>
  </si>
  <si>
    <t>Canada</t>
  </si>
  <si>
    <t>Bosnia and Herzegovina</t>
  </si>
  <si>
    <t>Qatar</t>
  </si>
  <si>
    <t>Switzerland</t>
  </si>
  <si>
    <t>Brazil</t>
  </si>
  <si>
    <t>South America</t>
  </si>
  <si>
    <t>Morocco</t>
  </si>
  <si>
    <t>Haiti</t>
  </si>
  <si>
    <t>Scotland</t>
  </si>
  <si>
    <t>United States</t>
  </si>
  <si>
    <t>Paraguay</t>
  </si>
  <si>
    <t>Australia</t>
  </si>
  <si>
    <t>Oceania</t>
  </si>
  <si>
    <t>Turkey</t>
  </si>
  <si>
    <t>Germany</t>
  </si>
  <si>
    <t>Curacao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</si>
  <si>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</si>
  <si>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</si>
  <si>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</si>
  <si>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</si>
  <si>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</si>
  <si>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</si>
  <si>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</si>
  <si>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</si>
  <si>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</si>
  <si>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</si>
  <si>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</si>
  <si>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</si>
  <si>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</si>
  <si>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</si>
  <si>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</si>
  <si>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</si>
  <si>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</si>
  <si>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</si>
  <si>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</si>
  <si>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</si>
  <si>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</si>
  <si>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</si>
  <si>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</si>
  <si>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</si>
  <si>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</si>
  <si>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</si>
  <si>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</si>
  <si>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</si>
  <si>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</si>
  <si>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</si>
  <si>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Continents</t>
  </si>
  <si>
    <t>Counts</t>
  </si>
  <si>
    <t>total</t>
  </si>
  <si>
    <t>percentage</t>
  </si>
  <si>
    <t>Teams</t>
  </si>
  <si>
    <t>FIFA Ranking</t>
  </si>
  <si>
    <t>Category</t>
  </si>
  <si>
    <t>Group Stage</t>
  </si>
  <si>
    <t>Home_Goals</t>
  </si>
  <si>
    <t>Away_Goals</t>
  </si>
  <si>
    <t>Away_Team</t>
  </si>
  <si>
    <t>Home_Team</t>
  </si>
  <si>
    <t>Match_ID</t>
  </si>
  <si>
    <t>Portual</t>
  </si>
  <si>
    <t>Round Of 32</t>
  </si>
  <si>
    <t>Round Of 16</t>
  </si>
  <si>
    <t>Quarter Final</t>
  </si>
  <si>
    <t>Semi Final</t>
  </si>
  <si>
    <t>Third Place</t>
  </si>
  <si>
    <t>Final</t>
  </si>
  <si>
    <t>Group</t>
  </si>
  <si>
    <t>A</t>
  </si>
  <si>
    <t>C</t>
  </si>
  <si>
    <t>H</t>
  </si>
  <si>
    <t>J</t>
  </si>
  <si>
    <t>E</t>
  </si>
  <si>
    <t>B</t>
  </si>
  <si>
    <t>Goals</t>
  </si>
  <si>
    <t>D</t>
  </si>
  <si>
    <t>F</t>
  </si>
  <si>
    <t>G</t>
  </si>
  <si>
    <t>I</t>
  </si>
  <si>
    <t>L</t>
  </si>
  <si>
    <t>K</t>
  </si>
  <si>
    <t>Fifa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</si>
</sst>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0" fillId="0" borderId="0" xfId="1" applyFont="1"/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10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32">
    <dxf>
      <fill>
        <patternFill>
          <bgColor rgb="FF00B05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DF843-F2DA-4741-AFB7-D506CCE79C9F}" name="Table1" displayName="Table1" ref="A4:B52" totalsRowShown="0" headerRowDxfId="21" headerRowBorderDxfId="20" tableBorderDxfId="19" totalsRowBorderDxfId="18">
  <autoFilter ref="A4:B52" xr:uid="{09EDF843-F2DA-4741-AFB7-D506CCE79C9F}"/>
  <sortState xmlns:xlrd2="http://schemas.microsoft.com/office/spreadsheetml/2017/richdata2" ref="A5:B52">
    <sortCondition ref="A4:A52"/>
  </sortState>
  <tableColumns count="2">
    <tableColumn id="1" xr3:uid="{7A3CF807-111D-446E-ACFF-DA06708D4E0F}" name="Team" dataDxfId="17"/>
    <tableColumn id="2" xr3:uid="{E26B75C0-C954-425F-BA02-F486CD82266E}" name="Continent" dataDxfId="16"/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91281-78D7-4828-B080-751A06FB7AF5}" name="Table3" displayName="Table3" ref="D5:F12" totalsRowShown="0">
  <autoFilter ref="D5:F12" xr:uid="{8BF91281-78D7-4828-B080-751A06FB7AF5}"/>
  <sortState xmlns:xlrd2="http://schemas.microsoft.com/office/spreadsheetml/2017/richdata2" ref="D6:E11">
    <sortCondition descending="1" ref="E5:E11"/>
  </sortState>
  <tableColumns count="3">
    <tableColumn id="1" xr3:uid="{6B8042FA-76EB-4BEA-BF6C-69DDFFE8E0E1}" name="Continents"/>
    <tableColumn id="2" xr3:uid="{8CAE66CD-2C8E-41C3-887E-7BB681F449DB}" name="Counts"/>
    <tableColumn id="3" xr3:uid="{190ADA47-BFA2-4CED-9CFC-B4287F00B6CF}" name="percentage" dataDxfId="15" dataCellStyle="Percent">
      <calculatedColumnFormula>Table3[[#This Row],[Counts]]/$E$12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DC432-3F40-4CD2-9615-8BF8317E26A9}" name="Table4" displayName="Table4" ref="A1:B49" totalsRowShown="0" headerRowDxfId="14" headerRowBorderDxfId="13" tableBorderDxfId="12" totalsRowBorderDxfId="11">
  <autoFilter ref="A1:B49" xr:uid="{236DC432-3F40-4CD2-9615-8BF8317E26A9}"/>
  <sortState xmlns:xlrd2="http://schemas.microsoft.com/office/spreadsheetml/2017/richdata2" ref="A2:B49">
    <sortCondition ref="B1:B49"/>
  </sortState>
  <tableColumns count="2">
    <tableColumn id="1" xr3:uid="{8721BBC7-1C59-4F69-917A-FC8823049DB5}" name="Teams" dataDxfId="10"/>
    <tableColumn id="2" xr3:uid="{04C37E27-924C-4884-9E7B-176A8D0225A9}" name="FIFA Ranking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378396-C66D-45CC-B9BB-3A7F194F1E60}" name="Table2" displayName="Table2" ref="A1:F105" totalsRowShown="0" headerRowDxfId="31" headerRowBorderDxfId="30" tableBorderDxfId="29" totalsRowBorderDxfId="28">
  <autoFilter ref="A1:F105" xr:uid="{10378396-C66D-45CC-B9BB-3A7F194F1E60}"/>
  <sortState xmlns:xlrd2="http://schemas.microsoft.com/office/spreadsheetml/2017/richdata2" ref="A2:F80">
    <sortCondition ref="A1:A80"/>
  </sortState>
  <tableColumns count="6">
    <tableColumn id="1" xr3:uid="{708D2CDB-C5D0-43EF-A9A0-5474F6208E05}" name="Match_ID" dataDxfId="27"/>
    <tableColumn id="8" xr3:uid="{B8FE79D5-1063-4A86-B5BC-782A25E65E07}" name="Category" dataDxfId="26"/>
    <tableColumn id="4" xr3:uid="{64BC28BA-F077-4308-9A2B-B18D80E69AEF}" name="Home_Team" dataDxfId="25"/>
    <tableColumn id="5" xr3:uid="{B9628790-6D11-4607-9CE7-510C74B566E5}" name="Away_Team" dataDxfId="24"/>
    <tableColumn id="6" xr3:uid="{8F58B0A2-4F0C-473F-8134-66BDE30CCE4C}" name="Home_Goals" dataDxfId="23"/>
    <tableColumn id="7" xr3:uid="{47447A73-5964-4E36-A042-DDD3800AAF5A}" name="Away_Goals" dataDxfId="22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B70A94-EEF4-4647-B866-1DCD91BE2519}" name="Table8" displayName="Table8" ref="B2:E50" totalsRowShown="0" headerRowDxfId="8" headerRowBorderDxfId="7" tableBorderDxfId="6" totalsRowBorderDxfId="5">
  <autoFilter ref="B2:E50" xr:uid="{A8B70A94-EEF4-4647-B866-1DCD91BE2519}"/>
  <sortState xmlns:xlrd2="http://schemas.microsoft.com/office/spreadsheetml/2017/richdata2" ref="B3:E50">
    <sortCondition ref="C2:C50"/>
  </sortState>
  <tableColumns count="4">
    <tableColumn id="1" xr3:uid="{6EDE2FE0-2590-4770-89AA-F9F1D80D3FC8}" name="Teams" dataDxfId="4"/>
    <tableColumn id="2" xr3:uid="{C7706962-8EAD-449C-83B8-D213F421EC39}" name="Group" dataDxfId="3"/>
    <tableColumn id="3" xr3:uid="{3B88D432-10A6-4CBC-9863-4CC9009B33A7}" name="Goals" dataDxfId="2">
      <calculatedColumnFormula>SUM(SUMIF(Fact_Matches!$C$2:$C$73,Table8[[#This Row],[Teams]],Fact_Matches!$E$2:$E$73),SUMIF(Fact_Matches!$D$2:$D$73,Table8[[#This Row],[Teams]],Fact_Matches!$F$2:$F$73))</calculatedColumnFormula>
    </tableColumn>
    <tableColumn id="4" xr3:uid="{449679D7-4DB8-43C6-AC7D-BBE7984337C6}" name="Fifa Ranking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F52"/>
  <sheetViews>
    <sheetView workbookViewId="0">
      <selection activeCell="B2" sqref="B2"/>
    </sheetView>
  </sheetViews>
  <sheetFormatPr defaultRowHeight="14.4" x14ac:dyDescent="0.3"/>
  <cols>
    <col min="1" max="1" width="28" customWidth="1"/>
    <col min="2" max="2" width="20" customWidth="1"/>
    <col min="4" max="4" width="12.88671875" bestFit="1" customWidth="1"/>
    <col min="6" max="6" width="12.6640625" bestFit="1" customWidth="1"/>
  </cols>
  <sheetData>
    <row r="2" spans="1:6" ht="18" x14ac:dyDescent="0.3">
      <c r="A2" s="2" t="s">
        <v>1</v>
      </c>
      <c r="B2" s="1" t="s">
        <v>7</v>
      </c>
    </row>
    <row r="4" spans="1:6" x14ac:dyDescent="0.3">
      <c r="A4" s="4" t="s">
        <v>0</v>
      </c>
      <c r="B4" s="5" t="s">
        <v>1</v>
      </c>
    </row>
    <row r="5" spans="1:6" x14ac:dyDescent="0.3">
      <c r="A5" s="6" t="s">
        <v>45</v>
      </c>
      <c r="B5" s="8" t="s">
        <v>5</v>
      </c>
      <c r="D5" t="s">
        <v>56</v>
      </c>
      <c r="E5" t="s">
        <v>57</v>
      </c>
      <c r="F5" t="s">
        <v>59</v>
      </c>
    </row>
    <row r="6" spans="1:6" x14ac:dyDescent="0.3">
      <c r="A6" s="6" t="s">
        <v>44</v>
      </c>
      <c r="B6" s="8" t="s">
        <v>15</v>
      </c>
      <c r="D6" t="s">
        <v>9</v>
      </c>
      <c r="E6">
        <v>16</v>
      </c>
      <c r="F6" s="3">
        <f>Table3[[#This Row],[Counts]]/$E$12</f>
        <v>0.33333333333333331</v>
      </c>
    </row>
    <row r="7" spans="1:6" x14ac:dyDescent="0.3">
      <c r="A7" s="6" t="s">
        <v>21</v>
      </c>
      <c r="B7" s="8" t="s">
        <v>22</v>
      </c>
      <c r="D7" t="s">
        <v>5</v>
      </c>
      <c r="E7">
        <v>10</v>
      </c>
      <c r="F7" s="3">
        <f>Table3[[#This Row],[Counts]]/$E$12</f>
        <v>0.20833333333333334</v>
      </c>
    </row>
    <row r="8" spans="1:6" x14ac:dyDescent="0.3">
      <c r="A8" s="6" t="s">
        <v>46</v>
      </c>
      <c r="B8" s="8" t="s">
        <v>9</v>
      </c>
      <c r="D8" t="s">
        <v>7</v>
      </c>
      <c r="E8">
        <v>8</v>
      </c>
      <c r="F8" s="3">
        <f>Table3[[#This Row],[Counts]]/$E$12</f>
        <v>0.16666666666666666</v>
      </c>
    </row>
    <row r="9" spans="1:6" x14ac:dyDescent="0.3">
      <c r="A9" s="6" t="s">
        <v>32</v>
      </c>
      <c r="B9" s="8" t="s">
        <v>9</v>
      </c>
      <c r="D9" t="s">
        <v>15</v>
      </c>
      <c r="E9">
        <v>6</v>
      </c>
      <c r="F9" s="3">
        <f>Table3[[#This Row],[Counts]]/$E$12</f>
        <v>0.125</v>
      </c>
    </row>
    <row r="10" spans="1:6" x14ac:dyDescent="0.3">
      <c r="A10" s="6" t="s">
        <v>11</v>
      </c>
      <c r="B10" s="8" t="s">
        <v>9</v>
      </c>
      <c r="D10" t="s">
        <v>3</v>
      </c>
      <c r="E10">
        <v>6</v>
      </c>
      <c r="F10" s="3">
        <f>Table3[[#This Row],[Counts]]/$E$12</f>
        <v>0.125</v>
      </c>
    </row>
    <row r="11" spans="1:6" x14ac:dyDescent="0.3">
      <c r="A11" s="6" t="s">
        <v>14</v>
      </c>
      <c r="B11" s="8" t="s">
        <v>15</v>
      </c>
      <c r="D11" t="s">
        <v>22</v>
      </c>
      <c r="E11">
        <v>2</v>
      </c>
      <c r="F11" s="3">
        <f>Table3[[#This Row],[Counts]]/$E$12</f>
        <v>4.1666666666666664E-2</v>
      </c>
    </row>
    <row r="12" spans="1:6" x14ac:dyDescent="0.3">
      <c r="A12" s="6" t="s">
        <v>10</v>
      </c>
      <c r="B12" s="8" t="s">
        <v>3</v>
      </c>
      <c r="D12" t="s">
        <v>58</v>
      </c>
      <c r="E12">
        <f>SUBTOTAL(109,E6:E11)</f>
        <v>48</v>
      </c>
      <c r="F12" s="3"/>
    </row>
    <row r="13" spans="1:6" x14ac:dyDescent="0.3">
      <c r="A13" s="6" t="s">
        <v>37</v>
      </c>
      <c r="B13" s="8" t="s">
        <v>5</v>
      </c>
    </row>
    <row r="14" spans="1:6" x14ac:dyDescent="0.3">
      <c r="A14" s="6" t="s">
        <v>51</v>
      </c>
      <c r="B14" s="8" t="s">
        <v>15</v>
      </c>
    </row>
    <row r="15" spans="1:6" x14ac:dyDescent="0.3">
      <c r="A15" s="6" t="s">
        <v>53</v>
      </c>
      <c r="B15" s="8" t="s">
        <v>9</v>
      </c>
    </row>
    <row r="16" spans="1:6" x14ac:dyDescent="0.3">
      <c r="A16" s="6" t="s">
        <v>25</v>
      </c>
      <c r="B16" s="8" t="s">
        <v>3</v>
      </c>
    </row>
    <row r="17" spans="1:2" x14ac:dyDescent="0.3">
      <c r="A17" s="6" t="s">
        <v>8</v>
      </c>
      <c r="B17" s="8" t="s">
        <v>9</v>
      </c>
    </row>
    <row r="18" spans="1:2" x14ac:dyDescent="0.3">
      <c r="A18" s="6" t="s">
        <v>49</v>
      </c>
      <c r="B18" s="8" t="s">
        <v>5</v>
      </c>
    </row>
    <row r="19" spans="1:2" x14ac:dyDescent="0.3">
      <c r="A19" s="6" t="s">
        <v>27</v>
      </c>
      <c r="B19" s="8" t="s">
        <v>15</v>
      </c>
    </row>
    <row r="20" spans="1:2" x14ac:dyDescent="0.3">
      <c r="A20" s="6" t="s">
        <v>33</v>
      </c>
      <c r="B20" s="8" t="s">
        <v>5</v>
      </c>
    </row>
    <row r="21" spans="1:2" x14ac:dyDescent="0.3">
      <c r="A21" s="6" t="s">
        <v>52</v>
      </c>
      <c r="B21" s="8" t="s">
        <v>9</v>
      </c>
    </row>
    <row r="22" spans="1:2" x14ac:dyDescent="0.3">
      <c r="A22" s="6" t="s">
        <v>40</v>
      </c>
      <c r="B22" s="8" t="s">
        <v>9</v>
      </c>
    </row>
    <row r="23" spans="1:2" x14ac:dyDescent="0.3">
      <c r="A23" s="6" t="s">
        <v>24</v>
      </c>
      <c r="B23" s="8" t="s">
        <v>9</v>
      </c>
    </row>
    <row r="24" spans="1:2" x14ac:dyDescent="0.3">
      <c r="A24" s="6" t="s">
        <v>54</v>
      </c>
      <c r="B24" s="8" t="s">
        <v>5</v>
      </c>
    </row>
    <row r="25" spans="1:2" x14ac:dyDescent="0.3">
      <c r="A25" s="6" t="s">
        <v>17</v>
      </c>
      <c r="B25" s="8" t="s">
        <v>3</v>
      </c>
    </row>
    <row r="26" spans="1:2" x14ac:dyDescent="0.3">
      <c r="A26" s="6" t="s">
        <v>34</v>
      </c>
      <c r="B26" s="8" t="s">
        <v>7</v>
      </c>
    </row>
    <row r="27" spans="1:2" x14ac:dyDescent="0.3">
      <c r="A27" s="6" t="s">
        <v>42</v>
      </c>
      <c r="B27" s="8" t="s">
        <v>7</v>
      </c>
    </row>
    <row r="28" spans="1:2" x14ac:dyDescent="0.3">
      <c r="A28" s="6" t="s">
        <v>26</v>
      </c>
      <c r="B28" s="8" t="s">
        <v>5</v>
      </c>
    </row>
    <row r="29" spans="1:2" x14ac:dyDescent="0.3">
      <c r="A29" s="6" t="s">
        <v>29</v>
      </c>
      <c r="B29" s="8" t="s">
        <v>7</v>
      </c>
    </row>
    <row r="30" spans="1:2" x14ac:dyDescent="0.3">
      <c r="A30" s="6" t="s">
        <v>47</v>
      </c>
      <c r="B30" s="8" t="s">
        <v>7</v>
      </c>
    </row>
    <row r="31" spans="1:2" x14ac:dyDescent="0.3">
      <c r="A31" s="6" t="s">
        <v>2</v>
      </c>
      <c r="B31" s="8" t="s">
        <v>3</v>
      </c>
    </row>
    <row r="32" spans="1:2" x14ac:dyDescent="0.3">
      <c r="A32" s="6" t="s">
        <v>16</v>
      </c>
      <c r="B32" s="8" t="s">
        <v>5</v>
      </c>
    </row>
    <row r="33" spans="1:2" x14ac:dyDescent="0.3">
      <c r="A33" s="6" t="s">
        <v>28</v>
      </c>
      <c r="B33" s="8" t="s">
        <v>9</v>
      </c>
    </row>
    <row r="34" spans="1:2" x14ac:dyDescent="0.3">
      <c r="A34" s="6" t="s">
        <v>35</v>
      </c>
      <c r="B34" s="8" t="s">
        <v>22</v>
      </c>
    </row>
    <row r="35" spans="1:2" x14ac:dyDescent="0.3">
      <c r="A35" s="6" t="s">
        <v>43</v>
      </c>
      <c r="B35" s="8" t="s">
        <v>9</v>
      </c>
    </row>
    <row r="36" spans="1:2" x14ac:dyDescent="0.3">
      <c r="A36" s="6" t="s">
        <v>55</v>
      </c>
      <c r="B36" s="8" t="s">
        <v>3</v>
      </c>
    </row>
    <row r="37" spans="1:2" x14ac:dyDescent="0.3">
      <c r="A37" s="6" t="s">
        <v>20</v>
      </c>
      <c r="B37" s="8" t="s">
        <v>15</v>
      </c>
    </row>
    <row r="38" spans="1:2" x14ac:dyDescent="0.3">
      <c r="A38" s="6" t="s">
        <v>48</v>
      </c>
      <c r="B38" s="8" t="s">
        <v>9</v>
      </c>
    </row>
    <row r="39" spans="1:2" x14ac:dyDescent="0.3">
      <c r="A39" s="6" t="s">
        <v>12</v>
      </c>
      <c r="B39" s="8" t="s">
        <v>7</v>
      </c>
    </row>
    <row r="40" spans="1:2" x14ac:dyDescent="0.3">
      <c r="A40" s="6" t="s">
        <v>38</v>
      </c>
      <c r="B40" s="8" t="s">
        <v>7</v>
      </c>
    </row>
    <row r="41" spans="1:2" x14ac:dyDescent="0.3">
      <c r="A41" s="6" t="s">
        <v>18</v>
      </c>
      <c r="B41" s="8" t="s">
        <v>9</v>
      </c>
    </row>
    <row r="42" spans="1:2" x14ac:dyDescent="0.3">
      <c r="A42" s="6" t="s">
        <v>41</v>
      </c>
      <c r="B42" s="8" t="s">
        <v>5</v>
      </c>
    </row>
    <row r="43" spans="1:2" x14ac:dyDescent="0.3">
      <c r="A43" s="6" t="s">
        <v>4</v>
      </c>
      <c r="B43" s="8" t="s">
        <v>5</v>
      </c>
    </row>
    <row r="44" spans="1:2" x14ac:dyDescent="0.3">
      <c r="A44" s="6" t="s">
        <v>6</v>
      </c>
      <c r="B44" s="8" t="s">
        <v>7</v>
      </c>
    </row>
    <row r="45" spans="1:2" x14ac:dyDescent="0.3">
      <c r="A45" s="6" t="s">
        <v>36</v>
      </c>
      <c r="B45" s="8" t="s">
        <v>9</v>
      </c>
    </row>
    <row r="46" spans="1:2" x14ac:dyDescent="0.3">
      <c r="A46" s="6" t="s">
        <v>30</v>
      </c>
      <c r="B46" s="8" t="s">
        <v>9</v>
      </c>
    </row>
    <row r="47" spans="1:2" x14ac:dyDescent="0.3">
      <c r="A47" s="6" t="s">
        <v>13</v>
      </c>
      <c r="B47" s="8" t="s">
        <v>9</v>
      </c>
    </row>
    <row r="48" spans="1:2" x14ac:dyDescent="0.3">
      <c r="A48" s="6" t="s">
        <v>31</v>
      </c>
      <c r="B48" s="8" t="s">
        <v>5</v>
      </c>
    </row>
    <row r="49" spans="1:2" x14ac:dyDescent="0.3">
      <c r="A49" s="6" t="s">
        <v>23</v>
      </c>
      <c r="B49" s="8" t="s">
        <v>9</v>
      </c>
    </row>
    <row r="50" spans="1:2" x14ac:dyDescent="0.3">
      <c r="A50" s="6" t="s">
        <v>19</v>
      </c>
      <c r="B50" s="8" t="s">
        <v>3</v>
      </c>
    </row>
    <row r="51" spans="1:2" x14ac:dyDescent="0.3">
      <c r="A51" s="6" t="s">
        <v>39</v>
      </c>
      <c r="B51" s="8" t="s">
        <v>15</v>
      </c>
    </row>
    <row r="52" spans="1:2" x14ac:dyDescent="0.3">
      <c r="A52" s="9" t="s">
        <v>50</v>
      </c>
      <c r="B52" s="11" t="s">
        <v>7</v>
      </c>
    </row>
  </sheetData>
  <conditionalFormatting sqref="A5:B52">
    <cfRule type="expression" dxfId="0" priority="1">
      <formula>$B5=$B$2</formula>
    </cfRule>
  </conditionalFormatting>
  <dataValidations count="1">
    <dataValidation type="list" allowBlank="1" showInputMessage="1" showErrorMessage="1" sqref="B2" xr:uid="{E73E240D-0EDC-423D-8DB9-2BE6EE34EC90}">
      <formula1>"Europe, Africa, Asia, South America, North America, Oceania"</formula1>
    </dataValidation>
  </dataValidations>
  <pageMargins left="0.74803149606299213" right="0.74803149606299213" top="0.98425196850393704" bottom="0.98425196850393704" header="0.51181102362204722" footer="0.51181102362204722"/>
  <pageSetup paperSize="8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D7D6-549C-4F1E-85E3-A6D31AE410E5}">
  <sheetPr>
    <tabColor theme="4" tint="-0.249977111117893"/>
  </sheetPr>
  <dimension ref="A1:B49"/>
  <sheetViews>
    <sheetView topLeftCell="A24" workbookViewId="0">
      <selection activeCell="E15" sqref="E15"/>
    </sheetView>
  </sheetViews>
  <sheetFormatPr defaultRowHeight="14.4" x14ac:dyDescent="0.3"/>
  <cols>
    <col min="1" max="1" width="20.5546875" bestFit="1" customWidth="1"/>
    <col min="2" max="2" width="14" bestFit="1" customWidth="1"/>
  </cols>
  <sheetData>
    <row r="1" spans="1:2" x14ac:dyDescent="0.3">
      <c r="A1" s="13" t="s">
        <v>60</v>
      </c>
      <c r="B1" s="12" t="s">
        <v>61</v>
      </c>
    </row>
    <row r="2" spans="1:2" x14ac:dyDescent="0.3">
      <c r="A2" s="6" t="s">
        <v>44</v>
      </c>
      <c r="B2" s="8">
        <v>1</v>
      </c>
    </row>
    <row r="3" spans="1:2" x14ac:dyDescent="0.3">
      <c r="A3" s="6" t="s">
        <v>36</v>
      </c>
      <c r="B3" s="8">
        <v>2</v>
      </c>
    </row>
    <row r="4" spans="1:2" x14ac:dyDescent="0.3">
      <c r="A4" s="6" t="s">
        <v>40</v>
      </c>
      <c r="B4" s="8">
        <v>3</v>
      </c>
    </row>
    <row r="5" spans="1:2" x14ac:dyDescent="0.3">
      <c r="A5" s="6" t="s">
        <v>52</v>
      </c>
      <c r="B5" s="8">
        <v>4</v>
      </c>
    </row>
    <row r="6" spans="1:2" x14ac:dyDescent="0.3">
      <c r="A6" s="6" t="s">
        <v>48</v>
      </c>
      <c r="B6" s="8">
        <v>5</v>
      </c>
    </row>
    <row r="7" spans="1:2" x14ac:dyDescent="0.3">
      <c r="A7" s="6" t="s">
        <v>14</v>
      </c>
      <c r="B7" s="8">
        <v>6</v>
      </c>
    </row>
    <row r="8" spans="1:2" x14ac:dyDescent="0.3">
      <c r="A8" s="6" t="s">
        <v>16</v>
      </c>
      <c r="B8" s="8">
        <v>7</v>
      </c>
    </row>
    <row r="9" spans="1:2" x14ac:dyDescent="0.3">
      <c r="A9" s="6" t="s">
        <v>28</v>
      </c>
      <c r="B9" s="8">
        <v>8</v>
      </c>
    </row>
    <row r="10" spans="1:2" x14ac:dyDescent="0.3">
      <c r="A10" s="6" t="s">
        <v>32</v>
      </c>
      <c r="B10" s="8">
        <v>9</v>
      </c>
    </row>
    <row r="11" spans="1:2" x14ac:dyDescent="0.3">
      <c r="A11" s="6" t="s">
        <v>24</v>
      </c>
      <c r="B11" s="8">
        <v>10</v>
      </c>
    </row>
    <row r="12" spans="1:2" x14ac:dyDescent="0.3">
      <c r="A12" s="6" t="s">
        <v>53</v>
      </c>
      <c r="B12" s="8">
        <v>11</v>
      </c>
    </row>
    <row r="13" spans="1:2" x14ac:dyDescent="0.3">
      <c r="A13" s="6" t="s">
        <v>51</v>
      </c>
      <c r="B13" s="8">
        <v>13</v>
      </c>
    </row>
    <row r="14" spans="1:2" x14ac:dyDescent="0.3">
      <c r="A14" s="6" t="s">
        <v>2</v>
      </c>
      <c r="B14" s="8">
        <v>14</v>
      </c>
    </row>
    <row r="15" spans="1:2" x14ac:dyDescent="0.3">
      <c r="A15" s="6" t="s">
        <v>41</v>
      </c>
      <c r="B15" s="8">
        <v>15</v>
      </c>
    </row>
    <row r="16" spans="1:2" x14ac:dyDescent="0.3">
      <c r="A16" s="6" t="s">
        <v>39</v>
      </c>
      <c r="B16" s="8">
        <v>16</v>
      </c>
    </row>
    <row r="17" spans="1:2" x14ac:dyDescent="0.3">
      <c r="A17" s="6" t="s">
        <v>19</v>
      </c>
      <c r="B17" s="8">
        <v>17</v>
      </c>
    </row>
    <row r="18" spans="1:2" x14ac:dyDescent="0.3">
      <c r="A18" s="6" t="s">
        <v>29</v>
      </c>
      <c r="B18" s="8">
        <v>18</v>
      </c>
    </row>
    <row r="19" spans="1:2" x14ac:dyDescent="0.3">
      <c r="A19" s="6" t="s">
        <v>13</v>
      </c>
      <c r="B19" s="8">
        <v>19</v>
      </c>
    </row>
    <row r="20" spans="1:2" x14ac:dyDescent="0.3">
      <c r="A20" s="6" t="s">
        <v>34</v>
      </c>
      <c r="B20" s="8">
        <v>20</v>
      </c>
    </row>
    <row r="21" spans="1:2" x14ac:dyDescent="0.3">
      <c r="A21" s="6" t="s">
        <v>23</v>
      </c>
      <c r="B21" s="8">
        <v>22</v>
      </c>
    </row>
    <row r="22" spans="1:2" x14ac:dyDescent="0.3">
      <c r="A22" s="6" t="s">
        <v>27</v>
      </c>
      <c r="B22" s="8">
        <v>23</v>
      </c>
    </row>
    <row r="23" spans="1:2" x14ac:dyDescent="0.3">
      <c r="A23" s="6" t="s">
        <v>46</v>
      </c>
      <c r="B23" s="8">
        <v>24</v>
      </c>
    </row>
    <row r="24" spans="1:2" x14ac:dyDescent="0.3">
      <c r="A24" s="6" t="s">
        <v>6</v>
      </c>
      <c r="B24" s="8">
        <v>25</v>
      </c>
    </row>
    <row r="25" spans="1:2" x14ac:dyDescent="0.3">
      <c r="A25" s="6" t="s">
        <v>21</v>
      </c>
      <c r="B25" s="8">
        <v>27</v>
      </c>
    </row>
    <row r="26" spans="1:2" x14ac:dyDescent="0.3">
      <c r="A26" s="6" t="s">
        <v>45</v>
      </c>
      <c r="B26" s="8">
        <v>28</v>
      </c>
    </row>
    <row r="27" spans="1:2" x14ac:dyDescent="0.3">
      <c r="A27" s="6" t="s">
        <v>33</v>
      </c>
      <c r="B27" s="8">
        <v>29</v>
      </c>
    </row>
    <row r="28" spans="1:2" x14ac:dyDescent="0.3">
      <c r="A28" s="6" t="s">
        <v>10</v>
      </c>
      <c r="B28" s="8">
        <v>30</v>
      </c>
    </row>
    <row r="29" spans="1:2" x14ac:dyDescent="0.3">
      <c r="A29" s="6" t="s">
        <v>43</v>
      </c>
      <c r="B29" s="8">
        <v>31</v>
      </c>
    </row>
    <row r="30" spans="1:2" x14ac:dyDescent="0.3">
      <c r="A30" s="6" t="s">
        <v>26</v>
      </c>
      <c r="B30" s="8">
        <v>33</v>
      </c>
    </row>
    <row r="31" spans="1:2" x14ac:dyDescent="0.3">
      <c r="A31" s="6" t="s">
        <v>55</v>
      </c>
      <c r="B31" s="8">
        <v>34</v>
      </c>
    </row>
    <row r="32" spans="1:2" x14ac:dyDescent="0.3">
      <c r="A32" s="6" t="s">
        <v>30</v>
      </c>
      <c r="B32" s="8">
        <v>38</v>
      </c>
    </row>
    <row r="33" spans="1:2" x14ac:dyDescent="0.3">
      <c r="A33" s="6" t="s">
        <v>8</v>
      </c>
      <c r="B33" s="8">
        <v>40</v>
      </c>
    </row>
    <row r="34" spans="1:2" x14ac:dyDescent="0.3">
      <c r="A34" s="6" t="s">
        <v>20</v>
      </c>
      <c r="B34" s="8">
        <v>41</v>
      </c>
    </row>
    <row r="35" spans="1:2" x14ac:dyDescent="0.3">
      <c r="A35" s="6" t="s">
        <v>18</v>
      </c>
      <c r="B35" s="8">
        <v>42</v>
      </c>
    </row>
    <row r="36" spans="1:2" x14ac:dyDescent="0.3">
      <c r="A36" s="6" t="s">
        <v>31</v>
      </c>
      <c r="B36" s="8">
        <v>45</v>
      </c>
    </row>
    <row r="37" spans="1:2" x14ac:dyDescent="0.3">
      <c r="A37" s="6" t="s">
        <v>49</v>
      </c>
      <c r="B37" s="8">
        <v>46</v>
      </c>
    </row>
    <row r="38" spans="1:2" x14ac:dyDescent="0.3">
      <c r="A38" s="6" t="s">
        <v>50</v>
      </c>
      <c r="B38" s="8">
        <v>50</v>
      </c>
    </row>
    <row r="39" spans="1:2" x14ac:dyDescent="0.3">
      <c r="A39" s="6" t="s">
        <v>12</v>
      </c>
      <c r="B39" s="8">
        <v>56</v>
      </c>
    </row>
    <row r="40" spans="1:2" x14ac:dyDescent="0.3">
      <c r="A40" s="6" t="s">
        <v>42</v>
      </c>
      <c r="B40" s="8">
        <v>57</v>
      </c>
    </row>
    <row r="41" spans="1:2" x14ac:dyDescent="0.3">
      <c r="A41" s="6" t="s">
        <v>4</v>
      </c>
      <c r="B41" s="8">
        <v>60</v>
      </c>
    </row>
    <row r="42" spans="1:2" x14ac:dyDescent="0.3">
      <c r="A42" s="6" t="s">
        <v>38</v>
      </c>
      <c r="B42" s="8">
        <v>61</v>
      </c>
    </row>
    <row r="43" spans="1:2" x14ac:dyDescent="0.3">
      <c r="A43" s="6" t="s">
        <v>47</v>
      </c>
      <c r="B43" s="8">
        <v>63</v>
      </c>
    </row>
    <row r="44" spans="1:2" x14ac:dyDescent="0.3">
      <c r="A44" s="6" t="s">
        <v>11</v>
      </c>
      <c r="B44" s="8">
        <v>64</v>
      </c>
    </row>
    <row r="45" spans="1:2" x14ac:dyDescent="0.3">
      <c r="A45" s="6" t="s">
        <v>37</v>
      </c>
      <c r="B45" s="8">
        <v>67</v>
      </c>
    </row>
    <row r="46" spans="1:2" x14ac:dyDescent="0.3">
      <c r="A46" s="6" t="s">
        <v>54</v>
      </c>
      <c r="B46" s="8">
        <v>73</v>
      </c>
    </row>
    <row r="47" spans="1:2" x14ac:dyDescent="0.3">
      <c r="A47" s="6" t="s">
        <v>25</v>
      </c>
      <c r="B47" s="8">
        <v>82</v>
      </c>
    </row>
    <row r="48" spans="1:2" x14ac:dyDescent="0.3">
      <c r="A48" s="6" t="s">
        <v>17</v>
      </c>
      <c r="B48" s="8">
        <v>83</v>
      </c>
    </row>
    <row r="49" spans="1:2" x14ac:dyDescent="0.3">
      <c r="A49" s="9" t="s">
        <v>35</v>
      </c>
      <c r="B49" s="11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17B3-3BEF-4822-B15E-5C7E8864AD35}">
  <sheetPr>
    <tabColor rgb="FFFF0000"/>
  </sheetPr>
  <dimension ref="A1:F105"/>
  <sheetViews>
    <sheetView tabSelected="1" topLeftCell="A77" workbookViewId="0">
      <selection activeCell="E93" sqref="E93"/>
    </sheetView>
  </sheetViews>
  <sheetFormatPr defaultRowHeight="14.4" x14ac:dyDescent="0.3"/>
  <cols>
    <col min="1" max="1" width="10.44140625" bestFit="1" customWidth="1"/>
    <col min="2" max="2" width="11.5546875" bestFit="1" customWidth="1"/>
    <col min="3" max="3" width="21" bestFit="1" customWidth="1"/>
    <col min="4" max="4" width="20.5546875" bestFit="1" customWidth="1"/>
    <col min="5" max="5" width="13.77734375" bestFit="1" customWidth="1"/>
    <col min="6" max="6" width="13.44140625" bestFit="1" customWidth="1"/>
    <col min="9" max="9" width="21" bestFit="1" customWidth="1"/>
    <col min="10" max="10" width="14.21875" customWidth="1"/>
    <col min="11" max="12" width="20.5546875" bestFit="1" customWidth="1"/>
  </cols>
  <sheetData>
    <row r="1" spans="1:6" x14ac:dyDescent="0.3">
      <c r="A1" s="14" t="s">
        <v>68</v>
      </c>
      <c r="B1" s="14" t="s">
        <v>62</v>
      </c>
      <c r="C1" s="15" t="s">
        <v>67</v>
      </c>
      <c r="D1" s="15" t="s">
        <v>66</v>
      </c>
      <c r="E1" s="15" t="s">
        <v>64</v>
      </c>
      <c r="F1" s="16" t="s">
        <v>65</v>
      </c>
    </row>
    <row r="2" spans="1:6" x14ac:dyDescent="0.3">
      <c r="A2" s="6">
        <v>1</v>
      </c>
      <c r="B2" s="6" t="s">
        <v>63</v>
      </c>
      <c r="C2" s="7" t="s">
        <v>2</v>
      </c>
      <c r="D2" s="7" t="s">
        <v>4</v>
      </c>
      <c r="E2" s="7">
        <v>2</v>
      </c>
      <c r="F2" s="8">
        <v>0</v>
      </c>
    </row>
    <row r="3" spans="1:6" x14ac:dyDescent="0.3">
      <c r="A3" s="6">
        <v>2</v>
      </c>
      <c r="B3" s="6" t="s">
        <v>63</v>
      </c>
      <c r="C3" s="7" t="s">
        <v>6</v>
      </c>
      <c r="D3" s="7" t="s">
        <v>8</v>
      </c>
      <c r="E3" s="7">
        <v>2</v>
      </c>
      <c r="F3" s="8">
        <v>1</v>
      </c>
    </row>
    <row r="4" spans="1:6" x14ac:dyDescent="0.3">
      <c r="A4" s="6">
        <v>3</v>
      </c>
      <c r="B4" s="6" t="s">
        <v>63</v>
      </c>
      <c r="C4" s="7" t="s">
        <v>10</v>
      </c>
      <c r="D4" s="7" t="s">
        <v>11</v>
      </c>
      <c r="E4" s="7">
        <v>1</v>
      </c>
      <c r="F4" s="8">
        <v>1</v>
      </c>
    </row>
    <row r="5" spans="1:6" x14ac:dyDescent="0.3">
      <c r="A5" s="6">
        <v>4</v>
      </c>
      <c r="B5" s="6" t="s">
        <v>63</v>
      </c>
      <c r="C5" s="7" t="s">
        <v>19</v>
      </c>
      <c r="D5" s="7" t="s">
        <v>20</v>
      </c>
      <c r="E5" s="7">
        <v>4</v>
      </c>
      <c r="F5" s="8">
        <v>1</v>
      </c>
    </row>
    <row r="6" spans="1:6" x14ac:dyDescent="0.3">
      <c r="A6" s="6">
        <v>5</v>
      </c>
      <c r="B6" s="6" t="s">
        <v>63</v>
      </c>
      <c r="C6" s="7" t="s">
        <v>12</v>
      </c>
      <c r="D6" s="7" t="s">
        <v>13</v>
      </c>
      <c r="E6" s="7">
        <v>1</v>
      </c>
      <c r="F6" s="8">
        <v>1</v>
      </c>
    </row>
    <row r="7" spans="1:6" x14ac:dyDescent="0.3">
      <c r="A7" s="6">
        <v>6</v>
      </c>
      <c r="B7" s="6" t="s">
        <v>63</v>
      </c>
      <c r="C7" s="7" t="s">
        <v>14</v>
      </c>
      <c r="D7" s="7" t="s">
        <v>16</v>
      </c>
      <c r="E7" s="7">
        <v>1</v>
      </c>
      <c r="F7" s="8">
        <v>1</v>
      </c>
    </row>
    <row r="8" spans="1:6" x14ac:dyDescent="0.3">
      <c r="A8" s="6">
        <v>7</v>
      </c>
      <c r="B8" s="6" t="s">
        <v>63</v>
      </c>
      <c r="C8" s="7" t="s">
        <v>17</v>
      </c>
      <c r="D8" s="7" t="s">
        <v>18</v>
      </c>
      <c r="E8" s="7">
        <v>0</v>
      </c>
      <c r="F8" s="8">
        <v>1</v>
      </c>
    </row>
    <row r="9" spans="1:6" x14ac:dyDescent="0.3">
      <c r="A9" s="6">
        <v>8</v>
      </c>
      <c r="B9" s="6" t="s">
        <v>63</v>
      </c>
      <c r="C9" s="7" t="s">
        <v>21</v>
      </c>
      <c r="D9" s="7" t="s">
        <v>23</v>
      </c>
      <c r="E9" s="7">
        <v>2</v>
      </c>
      <c r="F9" s="8">
        <v>0</v>
      </c>
    </row>
    <row r="10" spans="1:6" x14ac:dyDescent="0.3">
      <c r="A10" s="6">
        <v>9</v>
      </c>
      <c r="B10" s="6" t="s">
        <v>63</v>
      </c>
      <c r="C10" s="7" t="s">
        <v>24</v>
      </c>
      <c r="D10" s="7" t="s">
        <v>25</v>
      </c>
      <c r="E10" s="7">
        <v>7</v>
      </c>
      <c r="F10" s="8">
        <v>1</v>
      </c>
    </row>
    <row r="11" spans="1:6" x14ac:dyDescent="0.3">
      <c r="A11" s="6">
        <v>10</v>
      </c>
      <c r="B11" s="6" t="s">
        <v>63</v>
      </c>
      <c r="C11" s="7" t="s">
        <v>28</v>
      </c>
      <c r="D11" s="7" t="s">
        <v>29</v>
      </c>
      <c r="E11" s="7">
        <v>2</v>
      </c>
      <c r="F11" s="8">
        <v>2</v>
      </c>
    </row>
    <row r="12" spans="1:6" x14ac:dyDescent="0.3">
      <c r="A12" s="6">
        <v>11</v>
      </c>
      <c r="B12" s="6" t="s">
        <v>63</v>
      </c>
      <c r="C12" s="7" t="s">
        <v>26</v>
      </c>
      <c r="D12" s="7" t="s">
        <v>27</v>
      </c>
      <c r="E12" s="7">
        <v>1</v>
      </c>
      <c r="F12" s="8">
        <v>0</v>
      </c>
    </row>
    <row r="13" spans="1:6" x14ac:dyDescent="0.3">
      <c r="A13" s="6">
        <v>12</v>
      </c>
      <c r="B13" s="6" t="s">
        <v>63</v>
      </c>
      <c r="C13" s="7" t="s">
        <v>30</v>
      </c>
      <c r="D13" s="7" t="s">
        <v>31</v>
      </c>
      <c r="E13" s="7">
        <v>5</v>
      </c>
      <c r="F13" s="8">
        <v>1</v>
      </c>
    </row>
    <row r="14" spans="1:6" x14ac:dyDescent="0.3">
      <c r="A14" s="6">
        <v>13</v>
      </c>
      <c r="B14" s="6" t="s">
        <v>63</v>
      </c>
      <c r="C14" s="7" t="s">
        <v>36</v>
      </c>
      <c r="D14" s="7" t="s">
        <v>37</v>
      </c>
      <c r="E14" s="7">
        <v>0</v>
      </c>
      <c r="F14" s="8">
        <v>0</v>
      </c>
    </row>
    <row r="15" spans="1:6" x14ac:dyDescent="0.3">
      <c r="A15" s="6">
        <v>14</v>
      </c>
      <c r="B15" s="6" t="s">
        <v>63</v>
      </c>
      <c r="C15" s="7" t="s">
        <v>32</v>
      </c>
      <c r="D15" s="7" t="s">
        <v>33</v>
      </c>
      <c r="E15" s="7">
        <v>1</v>
      </c>
      <c r="F15" s="8">
        <v>1</v>
      </c>
    </row>
    <row r="16" spans="1:6" x14ac:dyDescent="0.3">
      <c r="A16" s="6">
        <v>15</v>
      </c>
      <c r="B16" s="6" t="s">
        <v>63</v>
      </c>
      <c r="C16" s="7" t="s">
        <v>38</v>
      </c>
      <c r="D16" s="7" t="s">
        <v>39</v>
      </c>
      <c r="E16" s="7">
        <v>1</v>
      </c>
      <c r="F16" s="8">
        <v>1</v>
      </c>
    </row>
    <row r="17" spans="1:6" x14ac:dyDescent="0.3">
      <c r="A17" s="6">
        <v>16</v>
      </c>
      <c r="B17" s="6" t="s">
        <v>63</v>
      </c>
      <c r="C17" s="7" t="s">
        <v>34</v>
      </c>
      <c r="D17" s="7" t="s">
        <v>35</v>
      </c>
      <c r="E17" s="7">
        <v>2</v>
      </c>
      <c r="F17" s="8">
        <v>2</v>
      </c>
    </row>
    <row r="18" spans="1:6" x14ac:dyDescent="0.3">
      <c r="A18" s="6">
        <v>17</v>
      </c>
      <c r="B18" s="6" t="s">
        <v>63</v>
      </c>
      <c r="C18" s="7" t="s">
        <v>40</v>
      </c>
      <c r="D18" s="7" t="s">
        <v>41</v>
      </c>
      <c r="E18" s="7">
        <v>3</v>
      </c>
      <c r="F18" s="8">
        <v>1</v>
      </c>
    </row>
    <row r="19" spans="1:6" x14ac:dyDescent="0.3">
      <c r="A19" s="6">
        <v>18</v>
      </c>
      <c r="B19" s="6" t="s">
        <v>63</v>
      </c>
      <c r="C19" s="7" t="s">
        <v>42</v>
      </c>
      <c r="D19" s="7" t="s">
        <v>43</v>
      </c>
      <c r="E19" s="7">
        <v>1</v>
      </c>
      <c r="F19" s="8">
        <v>4</v>
      </c>
    </row>
    <row r="20" spans="1:6" x14ac:dyDescent="0.3">
      <c r="A20" s="6">
        <v>19</v>
      </c>
      <c r="B20" s="6" t="s">
        <v>63</v>
      </c>
      <c r="C20" s="7" t="s">
        <v>44</v>
      </c>
      <c r="D20" s="7" t="s">
        <v>45</v>
      </c>
      <c r="E20" s="7">
        <v>3</v>
      </c>
      <c r="F20" s="8">
        <v>0</v>
      </c>
    </row>
    <row r="21" spans="1:6" x14ac:dyDescent="0.3">
      <c r="A21" s="6">
        <v>20</v>
      </c>
      <c r="B21" s="6" t="s">
        <v>63</v>
      </c>
      <c r="C21" s="7" t="s">
        <v>46</v>
      </c>
      <c r="D21" s="7" t="s">
        <v>47</v>
      </c>
      <c r="E21" s="7">
        <v>3</v>
      </c>
      <c r="F21" s="8">
        <v>1</v>
      </c>
    </row>
    <row r="22" spans="1:6" x14ac:dyDescent="0.3">
      <c r="A22" s="6">
        <v>21</v>
      </c>
      <c r="B22" s="6" t="s">
        <v>63</v>
      </c>
      <c r="C22" s="7" t="s">
        <v>48</v>
      </c>
      <c r="D22" s="7" t="s">
        <v>49</v>
      </c>
      <c r="E22" s="7">
        <v>1</v>
      </c>
      <c r="F22" s="8">
        <v>1</v>
      </c>
    </row>
    <row r="23" spans="1:6" x14ac:dyDescent="0.3">
      <c r="A23" s="6">
        <v>22</v>
      </c>
      <c r="B23" s="6" t="s">
        <v>63</v>
      </c>
      <c r="C23" s="7" t="s">
        <v>52</v>
      </c>
      <c r="D23" s="7" t="s">
        <v>53</v>
      </c>
      <c r="E23" s="7">
        <v>4</v>
      </c>
      <c r="F23" s="8">
        <v>2</v>
      </c>
    </row>
    <row r="24" spans="1:6" x14ac:dyDescent="0.3">
      <c r="A24" s="6">
        <v>23</v>
      </c>
      <c r="B24" s="6" t="s">
        <v>63</v>
      </c>
      <c r="C24" s="7" t="s">
        <v>54</v>
      </c>
      <c r="D24" s="7" t="s">
        <v>55</v>
      </c>
      <c r="E24" s="7">
        <v>1</v>
      </c>
      <c r="F24" s="8">
        <v>0</v>
      </c>
    </row>
    <row r="25" spans="1:6" x14ac:dyDescent="0.3">
      <c r="A25" s="6">
        <v>24</v>
      </c>
      <c r="B25" s="6" t="s">
        <v>63</v>
      </c>
      <c r="C25" s="7" t="s">
        <v>50</v>
      </c>
      <c r="D25" s="7" t="s">
        <v>51</v>
      </c>
      <c r="E25" s="7">
        <v>1</v>
      </c>
      <c r="F25" s="8">
        <v>3</v>
      </c>
    </row>
    <row r="26" spans="1:6" x14ac:dyDescent="0.3">
      <c r="A26" s="6">
        <v>25</v>
      </c>
      <c r="B26" s="6" t="s">
        <v>63</v>
      </c>
      <c r="C26" s="7" t="s">
        <v>8</v>
      </c>
      <c r="D26" s="7" t="s">
        <v>4</v>
      </c>
      <c r="E26" s="7">
        <v>1</v>
      </c>
      <c r="F26" s="8">
        <v>1</v>
      </c>
    </row>
    <row r="27" spans="1:6" x14ac:dyDescent="0.3">
      <c r="A27" s="6">
        <v>26</v>
      </c>
      <c r="B27" s="6" t="s">
        <v>63</v>
      </c>
      <c r="C27" s="7" t="s">
        <v>13</v>
      </c>
      <c r="D27" s="7" t="s">
        <v>11</v>
      </c>
      <c r="E27" s="7">
        <v>4</v>
      </c>
      <c r="F27" s="8">
        <v>1</v>
      </c>
    </row>
    <row r="28" spans="1:6" x14ac:dyDescent="0.3">
      <c r="A28" s="6">
        <v>27</v>
      </c>
      <c r="B28" s="6" t="s">
        <v>63</v>
      </c>
      <c r="C28" s="7" t="s">
        <v>10</v>
      </c>
      <c r="D28" s="7" t="s">
        <v>12</v>
      </c>
      <c r="E28" s="7">
        <v>6</v>
      </c>
      <c r="F28" s="8">
        <v>0</v>
      </c>
    </row>
    <row r="29" spans="1:6" x14ac:dyDescent="0.3">
      <c r="A29" s="6">
        <v>28</v>
      </c>
      <c r="B29" s="6" t="s">
        <v>63</v>
      </c>
      <c r="C29" s="7" t="s">
        <v>2</v>
      </c>
      <c r="D29" s="7" t="s">
        <v>6</v>
      </c>
      <c r="E29" s="7">
        <v>1</v>
      </c>
      <c r="F29" s="8">
        <v>0</v>
      </c>
    </row>
    <row r="30" spans="1:6" x14ac:dyDescent="0.3">
      <c r="A30" s="6">
        <v>29</v>
      </c>
      <c r="B30" s="6" t="s">
        <v>63</v>
      </c>
      <c r="C30" s="7" t="s">
        <v>19</v>
      </c>
      <c r="D30" s="7" t="s">
        <v>21</v>
      </c>
      <c r="E30" s="7">
        <v>2</v>
      </c>
      <c r="F30" s="8">
        <v>0</v>
      </c>
    </row>
    <row r="31" spans="1:6" x14ac:dyDescent="0.3">
      <c r="A31" s="6">
        <v>30</v>
      </c>
      <c r="B31" s="6" t="s">
        <v>63</v>
      </c>
      <c r="C31" s="7" t="s">
        <v>18</v>
      </c>
      <c r="D31" s="7" t="s">
        <v>16</v>
      </c>
      <c r="E31" s="7">
        <v>0</v>
      </c>
      <c r="F31" s="8">
        <v>1</v>
      </c>
    </row>
    <row r="32" spans="1:6" x14ac:dyDescent="0.3">
      <c r="A32" s="6">
        <v>31</v>
      </c>
      <c r="B32" s="6" t="s">
        <v>63</v>
      </c>
      <c r="C32" s="7" t="s">
        <v>14</v>
      </c>
      <c r="D32" s="7" t="s">
        <v>17</v>
      </c>
      <c r="E32" s="7">
        <v>3</v>
      </c>
      <c r="F32" s="8">
        <v>0</v>
      </c>
    </row>
    <row r="33" spans="1:6" x14ac:dyDescent="0.3">
      <c r="A33" s="6">
        <v>32</v>
      </c>
      <c r="B33" s="6" t="s">
        <v>63</v>
      </c>
      <c r="C33" s="7" t="s">
        <v>23</v>
      </c>
      <c r="D33" s="7" t="s">
        <v>20</v>
      </c>
      <c r="E33" s="7">
        <v>0</v>
      </c>
      <c r="F33" s="8">
        <v>1</v>
      </c>
    </row>
    <row r="34" spans="1:6" x14ac:dyDescent="0.3">
      <c r="A34" s="9">
        <v>33</v>
      </c>
      <c r="B34" s="6" t="s">
        <v>63</v>
      </c>
      <c r="C34" s="10" t="s">
        <v>28</v>
      </c>
      <c r="D34" s="10" t="s">
        <v>30</v>
      </c>
      <c r="E34" s="10">
        <v>5</v>
      </c>
      <c r="F34" s="11">
        <v>1</v>
      </c>
    </row>
    <row r="35" spans="1:6" x14ac:dyDescent="0.3">
      <c r="A35" s="6">
        <v>34</v>
      </c>
      <c r="B35" s="6" t="s">
        <v>63</v>
      </c>
      <c r="C35" s="7" t="s">
        <v>24</v>
      </c>
      <c r="D35" s="7" t="s">
        <v>26</v>
      </c>
      <c r="E35" s="7">
        <v>2</v>
      </c>
      <c r="F35" s="8">
        <v>1</v>
      </c>
    </row>
    <row r="36" spans="1:6" x14ac:dyDescent="0.3">
      <c r="A36" s="9">
        <v>35</v>
      </c>
      <c r="B36" s="6" t="s">
        <v>63</v>
      </c>
      <c r="C36" s="7" t="s">
        <v>27</v>
      </c>
      <c r="D36" s="7" t="s">
        <v>25</v>
      </c>
      <c r="E36" s="7">
        <v>0</v>
      </c>
      <c r="F36" s="8">
        <v>0</v>
      </c>
    </row>
    <row r="37" spans="1:6" x14ac:dyDescent="0.3">
      <c r="A37" s="6">
        <v>36</v>
      </c>
      <c r="B37" s="6" t="s">
        <v>63</v>
      </c>
      <c r="C37" s="7" t="s">
        <v>31</v>
      </c>
      <c r="D37" s="7" t="s">
        <v>29</v>
      </c>
      <c r="E37" s="7">
        <v>0</v>
      </c>
      <c r="F37" s="8">
        <v>4</v>
      </c>
    </row>
    <row r="38" spans="1:6" x14ac:dyDescent="0.3">
      <c r="A38" s="9">
        <v>37</v>
      </c>
      <c r="B38" s="6" t="s">
        <v>63</v>
      </c>
      <c r="C38" s="7" t="s">
        <v>36</v>
      </c>
      <c r="D38" s="7" t="s">
        <v>38</v>
      </c>
      <c r="E38" s="7">
        <v>4</v>
      </c>
      <c r="F38" s="8">
        <v>0</v>
      </c>
    </row>
    <row r="39" spans="1:6" x14ac:dyDescent="0.3">
      <c r="A39" s="6">
        <v>38</v>
      </c>
      <c r="B39" s="6" t="s">
        <v>63</v>
      </c>
      <c r="C39" s="7" t="s">
        <v>32</v>
      </c>
      <c r="D39" s="7" t="s">
        <v>34</v>
      </c>
      <c r="E39" s="7">
        <v>0</v>
      </c>
      <c r="F39" s="8">
        <v>0</v>
      </c>
    </row>
    <row r="40" spans="1:6" x14ac:dyDescent="0.3">
      <c r="A40" s="9">
        <v>39</v>
      </c>
      <c r="B40" s="6" t="s">
        <v>63</v>
      </c>
      <c r="C40" s="7" t="s">
        <v>39</v>
      </c>
      <c r="D40" s="7" t="s">
        <v>37</v>
      </c>
      <c r="E40" s="7">
        <v>2</v>
      </c>
      <c r="F40" s="8">
        <v>2</v>
      </c>
    </row>
    <row r="41" spans="1:6" x14ac:dyDescent="0.3">
      <c r="A41" s="6">
        <v>40</v>
      </c>
      <c r="B41" s="6" t="s">
        <v>63</v>
      </c>
      <c r="C41" s="7" t="s">
        <v>35</v>
      </c>
      <c r="D41" s="7" t="s">
        <v>33</v>
      </c>
      <c r="E41" s="7">
        <v>1</v>
      </c>
      <c r="F41" s="8">
        <v>3</v>
      </c>
    </row>
    <row r="42" spans="1:6" x14ac:dyDescent="0.3">
      <c r="A42" s="9">
        <v>41</v>
      </c>
      <c r="B42" s="6" t="s">
        <v>63</v>
      </c>
      <c r="C42" s="7" t="s">
        <v>44</v>
      </c>
      <c r="D42" s="7" t="s">
        <v>46</v>
      </c>
      <c r="E42" s="7">
        <v>2</v>
      </c>
      <c r="F42" s="8">
        <v>0</v>
      </c>
    </row>
    <row r="43" spans="1:6" x14ac:dyDescent="0.3">
      <c r="A43" s="6">
        <v>42</v>
      </c>
      <c r="B43" s="6" t="s">
        <v>63</v>
      </c>
      <c r="C43" s="7" t="s">
        <v>40</v>
      </c>
      <c r="D43" s="7" t="s">
        <v>42</v>
      </c>
      <c r="E43" s="7">
        <v>3</v>
      </c>
      <c r="F43" s="8">
        <v>0</v>
      </c>
    </row>
    <row r="44" spans="1:6" x14ac:dyDescent="0.3">
      <c r="A44" s="9">
        <v>43</v>
      </c>
      <c r="B44" s="6" t="s">
        <v>63</v>
      </c>
      <c r="C44" s="7" t="s">
        <v>43</v>
      </c>
      <c r="D44" s="7" t="s">
        <v>41</v>
      </c>
      <c r="E44" s="7">
        <v>3</v>
      </c>
      <c r="F44" s="8">
        <v>2</v>
      </c>
    </row>
    <row r="45" spans="1:6" x14ac:dyDescent="0.3">
      <c r="A45" s="6">
        <v>44</v>
      </c>
      <c r="B45" s="6" t="s">
        <v>63</v>
      </c>
      <c r="C45" s="7" t="s">
        <v>47</v>
      </c>
      <c r="D45" s="7" t="s">
        <v>45</v>
      </c>
      <c r="E45" s="7">
        <v>1</v>
      </c>
      <c r="F45" s="8">
        <v>2</v>
      </c>
    </row>
    <row r="46" spans="1:6" x14ac:dyDescent="0.3">
      <c r="A46" s="9">
        <v>45</v>
      </c>
      <c r="B46" s="6" t="s">
        <v>63</v>
      </c>
      <c r="C46" s="7" t="s">
        <v>48</v>
      </c>
      <c r="D46" s="7" t="s">
        <v>50</v>
      </c>
      <c r="E46" s="7">
        <v>5</v>
      </c>
      <c r="F46" s="8">
        <v>0</v>
      </c>
    </row>
    <row r="47" spans="1:6" x14ac:dyDescent="0.3">
      <c r="A47" s="6">
        <v>46</v>
      </c>
      <c r="B47" s="6" t="s">
        <v>63</v>
      </c>
      <c r="C47" s="7" t="s">
        <v>52</v>
      </c>
      <c r="D47" s="7" t="s">
        <v>54</v>
      </c>
      <c r="E47" s="7">
        <v>0</v>
      </c>
      <c r="F47" s="8">
        <v>0</v>
      </c>
    </row>
    <row r="48" spans="1:6" x14ac:dyDescent="0.3">
      <c r="A48" s="9">
        <v>47</v>
      </c>
      <c r="B48" s="6" t="s">
        <v>63</v>
      </c>
      <c r="C48" s="7" t="s">
        <v>55</v>
      </c>
      <c r="D48" s="7" t="s">
        <v>53</v>
      </c>
      <c r="E48" s="7">
        <v>0</v>
      </c>
      <c r="F48" s="8">
        <v>1</v>
      </c>
    </row>
    <row r="49" spans="1:6" x14ac:dyDescent="0.3">
      <c r="A49" s="6">
        <v>48</v>
      </c>
      <c r="B49" s="6" t="s">
        <v>63</v>
      </c>
      <c r="C49" s="10" t="s">
        <v>51</v>
      </c>
      <c r="D49" s="10" t="s">
        <v>49</v>
      </c>
      <c r="E49" s="10">
        <v>1</v>
      </c>
      <c r="F49" s="11">
        <v>0</v>
      </c>
    </row>
    <row r="50" spans="1:6" x14ac:dyDescent="0.3">
      <c r="A50" s="9">
        <v>49</v>
      </c>
      <c r="B50" s="6" t="s">
        <v>63</v>
      </c>
      <c r="C50" s="10" t="s">
        <v>13</v>
      </c>
      <c r="D50" s="10" t="s">
        <v>10</v>
      </c>
      <c r="E50" s="10">
        <v>2</v>
      </c>
      <c r="F50" s="11">
        <v>1</v>
      </c>
    </row>
    <row r="51" spans="1:6" x14ac:dyDescent="0.3">
      <c r="A51" s="9">
        <v>50</v>
      </c>
      <c r="B51" s="6" t="s">
        <v>63</v>
      </c>
      <c r="C51" s="10" t="s">
        <v>11</v>
      </c>
      <c r="D51" s="10" t="s">
        <v>12</v>
      </c>
      <c r="E51" s="10">
        <v>3</v>
      </c>
      <c r="F51" s="11">
        <v>1</v>
      </c>
    </row>
    <row r="52" spans="1:6" x14ac:dyDescent="0.3">
      <c r="A52" s="9">
        <v>51</v>
      </c>
      <c r="B52" s="6" t="s">
        <v>63</v>
      </c>
      <c r="C52" s="10" t="s">
        <v>16</v>
      </c>
      <c r="D52" s="10" t="s">
        <v>17</v>
      </c>
      <c r="E52" s="10">
        <v>4</v>
      </c>
      <c r="F52" s="11">
        <v>2</v>
      </c>
    </row>
    <row r="53" spans="1:6" x14ac:dyDescent="0.3">
      <c r="A53" s="9">
        <v>52</v>
      </c>
      <c r="B53" s="6" t="s">
        <v>63</v>
      </c>
      <c r="C53" s="10" t="s">
        <v>18</v>
      </c>
      <c r="D53" s="10" t="s">
        <v>14</v>
      </c>
      <c r="E53" s="10">
        <v>0</v>
      </c>
      <c r="F53" s="11">
        <v>3</v>
      </c>
    </row>
    <row r="54" spans="1:6" x14ac:dyDescent="0.3">
      <c r="A54" s="9">
        <v>53</v>
      </c>
      <c r="B54" s="6" t="s">
        <v>63</v>
      </c>
      <c r="C54" s="10" t="s">
        <v>4</v>
      </c>
      <c r="D54" s="10" t="s">
        <v>6</v>
      </c>
      <c r="E54" s="10">
        <v>1</v>
      </c>
      <c r="F54" s="11">
        <v>0</v>
      </c>
    </row>
    <row r="55" spans="1:6" x14ac:dyDescent="0.3">
      <c r="A55" s="9">
        <v>54</v>
      </c>
      <c r="B55" s="6" t="s">
        <v>63</v>
      </c>
      <c r="C55" s="10" t="s">
        <v>8</v>
      </c>
      <c r="D55" s="10" t="s">
        <v>2</v>
      </c>
      <c r="E55" s="10">
        <v>0</v>
      </c>
      <c r="F55" s="11">
        <v>3</v>
      </c>
    </row>
    <row r="56" spans="1:6" x14ac:dyDescent="0.3">
      <c r="A56" s="9">
        <v>55</v>
      </c>
      <c r="B56" s="6" t="s">
        <v>63</v>
      </c>
      <c r="C56" s="10" t="s">
        <v>25</v>
      </c>
      <c r="D56" s="7" t="s">
        <v>26</v>
      </c>
      <c r="E56" s="10">
        <v>0</v>
      </c>
      <c r="F56" s="11">
        <v>2</v>
      </c>
    </row>
    <row r="57" spans="1:6" x14ac:dyDescent="0.3">
      <c r="A57" s="9">
        <v>56</v>
      </c>
      <c r="B57" s="6" t="s">
        <v>63</v>
      </c>
      <c r="C57" s="10" t="s">
        <v>27</v>
      </c>
      <c r="D57" s="10" t="s">
        <v>24</v>
      </c>
      <c r="E57" s="10">
        <v>2</v>
      </c>
      <c r="F57" s="11">
        <v>1</v>
      </c>
    </row>
    <row r="58" spans="1:6" x14ac:dyDescent="0.3">
      <c r="A58" s="9">
        <v>57</v>
      </c>
      <c r="B58" s="6" t="s">
        <v>63</v>
      </c>
      <c r="C58" s="10" t="s">
        <v>31</v>
      </c>
      <c r="D58" s="10" t="s">
        <v>28</v>
      </c>
      <c r="E58" s="10">
        <v>1</v>
      </c>
      <c r="F58" s="11">
        <v>3</v>
      </c>
    </row>
    <row r="59" spans="1:6" x14ac:dyDescent="0.3">
      <c r="A59" s="9">
        <v>58</v>
      </c>
      <c r="B59" s="6" t="s">
        <v>63</v>
      </c>
      <c r="C59" s="10" t="s">
        <v>29</v>
      </c>
      <c r="D59" s="10" t="s">
        <v>30</v>
      </c>
      <c r="E59" s="10">
        <v>1</v>
      </c>
      <c r="F59" s="11">
        <v>1</v>
      </c>
    </row>
    <row r="60" spans="1:6" x14ac:dyDescent="0.3">
      <c r="A60" s="9">
        <v>59</v>
      </c>
      <c r="B60" s="6" t="s">
        <v>63</v>
      </c>
      <c r="C60" s="10" t="s">
        <v>23</v>
      </c>
      <c r="D60" s="10" t="s">
        <v>19</v>
      </c>
      <c r="E60" s="10">
        <v>3</v>
      </c>
      <c r="F60" s="11">
        <v>2</v>
      </c>
    </row>
    <row r="61" spans="1:6" x14ac:dyDescent="0.3">
      <c r="A61" s="9">
        <v>60</v>
      </c>
      <c r="B61" s="6" t="s">
        <v>63</v>
      </c>
      <c r="C61" s="10" t="s">
        <v>20</v>
      </c>
      <c r="D61" s="10" t="s">
        <v>21</v>
      </c>
      <c r="E61" s="10">
        <v>0</v>
      </c>
      <c r="F61" s="11">
        <v>0</v>
      </c>
    </row>
    <row r="62" spans="1:6" x14ac:dyDescent="0.3">
      <c r="A62" s="9">
        <v>61</v>
      </c>
      <c r="B62" s="9" t="s">
        <v>63</v>
      </c>
      <c r="C62" s="7" t="s">
        <v>43</v>
      </c>
      <c r="D62" s="7" t="s">
        <v>40</v>
      </c>
      <c r="E62" s="7">
        <v>1</v>
      </c>
      <c r="F62" s="8">
        <v>4</v>
      </c>
    </row>
    <row r="63" spans="1:6" x14ac:dyDescent="0.3">
      <c r="A63" s="9">
        <v>62</v>
      </c>
      <c r="B63" s="6" t="s">
        <v>63</v>
      </c>
      <c r="C63" s="7" t="s">
        <v>41</v>
      </c>
      <c r="D63" s="7" t="s">
        <v>42</v>
      </c>
      <c r="E63" s="7">
        <v>5</v>
      </c>
      <c r="F63" s="8">
        <v>0</v>
      </c>
    </row>
    <row r="64" spans="1:6" x14ac:dyDescent="0.3">
      <c r="A64" s="9">
        <v>63</v>
      </c>
      <c r="B64" s="9" t="s">
        <v>63</v>
      </c>
      <c r="C64" s="7" t="s">
        <v>37</v>
      </c>
      <c r="D64" s="7" t="s">
        <v>38</v>
      </c>
      <c r="E64" s="7">
        <v>0</v>
      </c>
      <c r="F64" s="8">
        <v>0</v>
      </c>
    </row>
    <row r="65" spans="1:6" x14ac:dyDescent="0.3">
      <c r="A65" s="9">
        <v>64</v>
      </c>
      <c r="B65" s="6" t="s">
        <v>63</v>
      </c>
      <c r="C65" s="7" t="s">
        <v>39</v>
      </c>
      <c r="D65" s="7" t="s">
        <v>36</v>
      </c>
      <c r="E65" s="7">
        <v>0</v>
      </c>
      <c r="F65" s="8">
        <v>1</v>
      </c>
    </row>
    <row r="66" spans="1:6" x14ac:dyDescent="0.3">
      <c r="A66" s="9">
        <v>65</v>
      </c>
      <c r="B66" s="9" t="s">
        <v>63</v>
      </c>
      <c r="C66" s="7" t="s">
        <v>35</v>
      </c>
      <c r="D66" s="7" t="s">
        <v>32</v>
      </c>
      <c r="E66" s="7">
        <v>1</v>
      </c>
      <c r="F66" s="8">
        <v>5</v>
      </c>
    </row>
    <row r="67" spans="1:6" x14ac:dyDescent="0.3">
      <c r="A67" s="9">
        <v>66</v>
      </c>
      <c r="B67" s="6" t="s">
        <v>63</v>
      </c>
      <c r="C67" s="7" t="s">
        <v>33</v>
      </c>
      <c r="D67" s="7" t="s">
        <v>34</v>
      </c>
      <c r="E67" s="7">
        <v>1</v>
      </c>
      <c r="F67" s="8">
        <v>1</v>
      </c>
    </row>
    <row r="68" spans="1:6" x14ac:dyDescent="0.3">
      <c r="A68" s="9">
        <v>67</v>
      </c>
      <c r="B68" s="9" t="s">
        <v>63</v>
      </c>
      <c r="C68" s="7" t="s">
        <v>55</v>
      </c>
      <c r="D68" s="7" t="s">
        <v>52</v>
      </c>
      <c r="E68" s="7">
        <v>0</v>
      </c>
      <c r="F68" s="8">
        <v>2</v>
      </c>
    </row>
    <row r="69" spans="1:6" x14ac:dyDescent="0.3">
      <c r="A69" s="9">
        <v>68</v>
      </c>
      <c r="B69" s="6" t="s">
        <v>63</v>
      </c>
      <c r="C69" s="7" t="s">
        <v>53</v>
      </c>
      <c r="D69" s="7" t="s">
        <v>54</v>
      </c>
      <c r="E69" s="7">
        <v>2</v>
      </c>
      <c r="F69" s="8">
        <v>1</v>
      </c>
    </row>
    <row r="70" spans="1:6" x14ac:dyDescent="0.3">
      <c r="A70" s="9">
        <v>69</v>
      </c>
      <c r="B70" s="9" t="s">
        <v>63</v>
      </c>
      <c r="C70" s="7" t="s">
        <v>51</v>
      </c>
      <c r="D70" s="7" t="s">
        <v>69</v>
      </c>
      <c r="E70" s="7">
        <v>0</v>
      </c>
      <c r="F70" s="8">
        <v>0</v>
      </c>
    </row>
    <row r="71" spans="1:6" x14ac:dyDescent="0.3">
      <c r="A71" s="9">
        <v>70</v>
      </c>
      <c r="B71" s="6" t="s">
        <v>63</v>
      </c>
      <c r="C71" s="7" t="s">
        <v>49</v>
      </c>
      <c r="D71" s="7" t="s">
        <v>50</v>
      </c>
      <c r="E71" s="7">
        <v>3</v>
      </c>
      <c r="F71" s="8">
        <v>1</v>
      </c>
    </row>
    <row r="72" spans="1:6" x14ac:dyDescent="0.3">
      <c r="A72" s="9">
        <v>71</v>
      </c>
      <c r="B72" s="9" t="s">
        <v>63</v>
      </c>
      <c r="C72" s="7" t="s">
        <v>45</v>
      </c>
      <c r="D72" s="7" t="s">
        <v>46</v>
      </c>
      <c r="E72" s="7">
        <v>3</v>
      </c>
      <c r="F72" s="8">
        <v>3</v>
      </c>
    </row>
    <row r="73" spans="1:6" x14ac:dyDescent="0.3">
      <c r="A73" s="9">
        <v>72</v>
      </c>
      <c r="B73" s="6" t="s">
        <v>63</v>
      </c>
      <c r="C73" s="7" t="s">
        <v>47</v>
      </c>
      <c r="D73" s="7" t="s">
        <v>44</v>
      </c>
      <c r="E73" s="7">
        <v>1</v>
      </c>
      <c r="F73" s="8">
        <v>3</v>
      </c>
    </row>
    <row r="74" spans="1:6" x14ac:dyDescent="0.3">
      <c r="A74" s="9">
        <v>73</v>
      </c>
      <c r="B74" s="9" t="s">
        <v>70</v>
      </c>
      <c r="C74" s="7" t="s">
        <v>4</v>
      </c>
      <c r="D74" s="7" t="s">
        <v>10</v>
      </c>
      <c r="E74" s="7">
        <v>0</v>
      </c>
      <c r="F74" s="8">
        <v>1</v>
      </c>
    </row>
    <row r="75" spans="1:6" x14ac:dyDescent="0.3">
      <c r="A75" s="9">
        <v>74</v>
      </c>
      <c r="B75" s="6" t="s">
        <v>70</v>
      </c>
      <c r="C75" s="7" t="s">
        <v>14</v>
      </c>
      <c r="D75" s="7" t="s">
        <v>29</v>
      </c>
      <c r="E75" s="7">
        <v>2</v>
      </c>
      <c r="F75" s="8">
        <v>1</v>
      </c>
    </row>
    <row r="76" spans="1:6" x14ac:dyDescent="0.3">
      <c r="A76" s="9">
        <v>75</v>
      </c>
      <c r="B76" s="9" t="s">
        <v>70</v>
      </c>
      <c r="C76" s="7" t="s">
        <v>24</v>
      </c>
      <c r="D76" s="7" t="s">
        <v>20</v>
      </c>
      <c r="E76" s="7">
        <v>1</v>
      </c>
      <c r="F76" s="8">
        <v>1</v>
      </c>
    </row>
    <row r="77" spans="1:6" x14ac:dyDescent="0.3">
      <c r="A77" s="9">
        <v>76</v>
      </c>
      <c r="B77" s="6" t="s">
        <v>70</v>
      </c>
      <c r="C77" s="7" t="s">
        <v>28</v>
      </c>
      <c r="D77" s="7" t="s">
        <v>16</v>
      </c>
      <c r="E77" s="7">
        <v>1</v>
      </c>
      <c r="F77" s="8">
        <v>1</v>
      </c>
    </row>
    <row r="78" spans="1:6" x14ac:dyDescent="0.3">
      <c r="A78" s="9">
        <v>77</v>
      </c>
      <c r="B78" s="9" t="s">
        <v>70</v>
      </c>
      <c r="C78" s="7" t="s">
        <v>26</v>
      </c>
      <c r="D78" s="7" t="s">
        <v>43</v>
      </c>
      <c r="E78" s="7">
        <v>1</v>
      </c>
      <c r="F78" s="8">
        <v>2</v>
      </c>
    </row>
    <row r="79" spans="1:6" x14ac:dyDescent="0.3">
      <c r="A79" s="9">
        <v>78</v>
      </c>
      <c r="B79" s="6" t="s">
        <v>70</v>
      </c>
      <c r="C79" s="7" t="s">
        <v>40</v>
      </c>
      <c r="D79" s="7" t="s">
        <v>30</v>
      </c>
      <c r="E79" s="7">
        <v>3</v>
      </c>
      <c r="F79" s="8">
        <v>0</v>
      </c>
    </row>
    <row r="80" spans="1:6" x14ac:dyDescent="0.3">
      <c r="A80" s="9">
        <v>79</v>
      </c>
      <c r="B80" s="9" t="s">
        <v>70</v>
      </c>
      <c r="C80" s="7" t="s">
        <v>2</v>
      </c>
      <c r="D80" s="7" t="s">
        <v>27</v>
      </c>
      <c r="E80" s="7">
        <v>2</v>
      </c>
      <c r="F80" s="8">
        <v>0</v>
      </c>
    </row>
    <row r="81" spans="1:6" x14ac:dyDescent="0.3">
      <c r="A81" s="9">
        <v>80</v>
      </c>
      <c r="B81" s="6" t="s">
        <v>70</v>
      </c>
      <c r="C81" s="7" t="s">
        <v>52</v>
      </c>
      <c r="D81" s="7" t="s">
        <v>49</v>
      </c>
      <c r="E81" s="7">
        <v>2</v>
      </c>
      <c r="F81" s="8">
        <v>1</v>
      </c>
    </row>
    <row r="82" spans="1:6" x14ac:dyDescent="0.3">
      <c r="A82" s="9">
        <v>81</v>
      </c>
      <c r="B82" s="9" t="s">
        <v>70</v>
      </c>
      <c r="C82" s="7" t="s">
        <v>32</v>
      </c>
      <c r="D82" s="7" t="s">
        <v>41</v>
      </c>
      <c r="E82" s="7">
        <v>3</v>
      </c>
      <c r="F82" s="8">
        <v>2</v>
      </c>
    </row>
    <row r="83" spans="1:6" x14ac:dyDescent="0.3">
      <c r="A83" s="9">
        <v>82</v>
      </c>
      <c r="B83" s="6" t="s">
        <v>70</v>
      </c>
      <c r="C83" s="7" t="s">
        <v>19</v>
      </c>
      <c r="D83" s="7" t="s">
        <v>11</v>
      </c>
      <c r="E83" s="7">
        <v>2</v>
      </c>
      <c r="F83" s="8">
        <v>0</v>
      </c>
    </row>
    <row r="84" spans="1:6" x14ac:dyDescent="0.3">
      <c r="A84" s="9">
        <v>83</v>
      </c>
      <c r="B84" s="9" t="s">
        <v>70</v>
      </c>
      <c r="C84" s="7" t="s">
        <v>36</v>
      </c>
      <c r="D84" s="7" t="s">
        <v>46</v>
      </c>
      <c r="E84" s="7">
        <v>3</v>
      </c>
      <c r="F84" s="8">
        <v>0</v>
      </c>
    </row>
    <row r="85" spans="1:6" x14ac:dyDescent="0.3">
      <c r="A85" s="9">
        <v>84</v>
      </c>
      <c r="B85" s="6" t="s">
        <v>70</v>
      </c>
      <c r="C85" s="7" t="s">
        <v>48</v>
      </c>
      <c r="D85" s="7" t="s">
        <v>53</v>
      </c>
      <c r="E85" s="7">
        <v>2</v>
      </c>
      <c r="F85" s="8">
        <v>1</v>
      </c>
    </row>
    <row r="86" spans="1:6" x14ac:dyDescent="0.3">
      <c r="A86" s="9">
        <v>85</v>
      </c>
      <c r="B86" s="9" t="s">
        <v>70</v>
      </c>
      <c r="C86" s="7" t="s">
        <v>13</v>
      </c>
      <c r="D86" s="7" t="s">
        <v>45</v>
      </c>
      <c r="E86" s="7">
        <v>2</v>
      </c>
      <c r="F86" s="8">
        <v>0</v>
      </c>
    </row>
    <row r="87" spans="1:6" x14ac:dyDescent="0.3">
      <c r="A87" s="9">
        <v>86</v>
      </c>
      <c r="B87" s="6" t="s">
        <v>70</v>
      </c>
      <c r="C87" s="7" t="s">
        <v>21</v>
      </c>
      <c r="D87" s="7" t="s">
        <v>33</v>
      </c>
      <c r="E87" s="7">
        <v>1</v>
      </c>
      <c r="F87" s="8">
        <v>1</v>
      </c>
    </row>
    <row r="88" spans="1:6" x14ac:dyDescent="0.3">
      <c r="A88" s="9">
        <v>87</v>
      </c>
      <c r="B88" s="9" t="s">
        <v>70</v>
      </c>
      <c r="C88" s="7" t="s">
        <v>44</v>
      </c>
      <c r="D88" s="7" t="s">
        <v>37</v>
      </c>
      <c r="E88" s="7">
        <v>3</v>
      </c>
      <c r="F88" s="8">
        <v>2</v>
      </c>
    </row>
    <row r="89" spans="1:6" x14ac:dyDescent="0.3">
      <c r="A89" s="9">
        <v>88</v>
      </c>
      <c r="B89" s="6" t="s">
        <v>70</v>
      </c>
      <c r="C89" s="7" t="s">
        <v>51</v>
      </c>
      <c r="D89" s="7" t="s">
        <v>54</v>
      </c>
      <c r="E89" s="7">
        <v>1</v>
      </c>
      <c r="F89" s="8">
        <v>0</v>
      </c>
    </row>
    <row r="90" spans="1:6" x14ac:dyDescent="0.3">
      <c r="A90" s="9">
        <v>89</v>
      </c>
      <c r="B90" s="17" t="s">
        <v>71</v>
      </c>
      <c r="C90" s="7" t="s">
        <v>10</v>
      </c>
      <c r="D90" s="7" t="s">
        <v>16</v>
      </c>
      <c r="E90" s="7">
        <v>0</v>
      </c>
      <c r="F90" s="8">
        <v>3</v>
      </c>
    </row>
    <row r="91" spans="1:6" x14ac:dyDescent="0.3">
      <c r="A91" s="9">
        <v>90</v>
      </c>
      <c r="B91" s="17" t="s">
        <v>71</v>
      </c>
      <c r="C91" s="7" t="s">
        <v>20</v>
      </c>
      <c r="D91" s="7" t="s">
        <v>40</v>
      </c>
      <c r="E91" s="7">
        <v>0</v>
      </c>
      <c r="F91" s="8">
        <v>1</v>
      </c>
    </row>
    <row r="92" spans="1:6" x14ac:dyDescent="0.3">
      <c r="A92" s="9">
        <v>91</v>
      </c>
      <c r="B92" s="17" t="s">
        <v>71</v>
      </c>
      <c r="C92" s="7" t="s">
        <v>14</v>
      </c>
      <c r="D92" s="7" t="s">
        <v>43</v>
      </c>
      <c r="E92" s="7">
        <v>1</v>
      </c>
      <c r="F92" s="8">
        <v>2</v>
      </c>
    </row>
    <row r="93" spans="1:6" x14ac:dyDescent="0.3">
      <c r="A93" s="9">
        <v>92</v>
      </c>
      <c r="B93" s="17" t="s">
        <v>71</v>
      </c>
      <c r="C93" s="7" t="s">
        <v>2</v>
      </c>
      <c r="D93" s="7" t="s">
        <v>52</v>
      </c>
      <c r="E93" s="7"/>
      <c r="F93" s="8"/>
    </row>
    <row r="94" spans="1:6" x14ac:dyDescent="0.3">
      <c r="A94" s="9">
        <v>93</v>
      </c>
      <c r="B94" s="17" t="s">
        <v>71</v>
      </c>
      <c r="C94" s="7" t="s">
        <v>48</v>
      </c>
      <c r="D94" s="7" t="s">
        <v>36</v>
      </c>
      <c r="E94" s="7"/>
      <c r="F94" s="8"/>
    </row>
    <row r="95" spans="1:6" x14ac:dyDescent="0.3">
      <c r="A95" s="9">
        <v>94</v>
      </c>
      <c r="B95" s="17" t="s">
        <v>71</v>
      </c>
      <c r="C95" s="7" t="s">
        <v>44</v>
      </c>
      <c r="D95" s="7" t="s">
        <v>33</v>
      </c>
      <c r="E95" s="7"/>
      <c r="F95" s="8"/>
    </row>
    <row r="96" spans="1:6" x14ac:dyDescent="0.3">
      <c r="A96" s="9">
        <v>95</v>
      </c>
      <c r="B96" s="17" t="s">
        <v>71</v>
      </c>
      <c r="C96" s="7" t="s">
        <v>13</v>
      </c>
      <c r="D96" s="7" t="s">
        <v>51</v>
      </c>
      <c r="E96" s="7"/>
      <c r="F96" s="8"/>
    </row>
    <row r="97" spans="1:6" x14ac:dyDescent="0.3">
      <c r="A97" s="9">
        <v>96</v>
      </c>
      <c r="B97" s="17" t="s">
        <v>71</v>
      </c>
      <c r="C97" s="7" t="s">
        <v>19</v>
      </c>
      <c r="D97" s="7" t="s">
        <v>32</v>
      </c>
      <c r="E97" s="7"/>
      <c r="F97" s="8"/>
    </row>
    <row r="98" spans="1:6" x14ac:dyDescent="0.3">
      <c r="A98" s="9">
        <v>97</v>
      </c>
      <c r="B98" s="17" t="s">
        <v>72</v>
      </c>
      <c r="C98" s="7"/>
      <c r="D98" s="7"/>
      <c r="E98" s="7"/>
      <c r="F98" s="8"/>
    </row>
    <row r="99" spans="1:6" x14ac:dyDescent="0.3">
      <c r="A99" s="9">
        <v>98</v>
      </c>
      <c r="B99" s="17" t="s">
        <v>72</v>
      </c>
      <c r="C99" s="7"/>
      <c r="D99" s="7"/>
      <c r="E99" s="7"/>
      <c r="F99" s="8"/>
    </row>
    <row r="100" spans="1:6" x14ac:dyDescent="0.3">
      <c r="A100" s="9">
        <v>99</v>
      </c>
      <c r="B100" s="17" t="s">
        <v>72</v>
      </c>
      <c r="C100" s="7"/>
      <c r="D100" s="7"/>
      <c r="E100" s="7"/>
      <c r="F100" s="8"/>
    </row>
    <row r="101" spans="1:6" x14ac:dyDescent="0.3">
      <c r="A101" s="6">
        <v>100</v>
      </c>
      <c r="B101" s="17" t="s">
        <v>72</v>
      </c>
      <c r="C101" s="7"/>
      <c r="D101" s="7"/>
      <c r="E101" s="7"/>
      <c r="F101" s="8"/>
    </row>
    <row r="102" spans="1:6" x14ac:dyDescent="0.3">
      <c r="A102" s="9">
        <v>101</v>
      </c>
      <c r="B102" s="9" t="s">
        <v>73</v>
      </c>
      <c r="C102" s="10"/>
      <c r="D102" s="10"/>
      <c r="E102" s="10"/>
      <c r="F102" s="11"/>
    </row>
    <row r="103" spans="1:6" x14ac:dyDescent="0.3">
      <c r="A103" s="6">
        <v>102</v>
      </c>
      <c r="B103" s="9" t="s">
        <v>73</v>
      </c>
      <c r="C103" s="10"/>
      <c r="D103" s="10"/>
      <c r="E103" s="10"/>
      <c r="F103" s="11"/>
    </row>
    <row r="104" spans="1:6" x14ac:dyDescent="0.3">
      <c r="A104" s="9">
        <v>103</v>
      </c>
      <c r="B104" s="9" t="s">
        <v>74</v>
      </c>
      <c r="C104" s="10"/>
      <c r="D104" s="10"/>
      <c r="E104" s="10"/>
      <c r="F104" s="11"/>
    </row>
    <row r="105" spans="1:6" x14ac:dyDescent="0.3">
      <c r="A105" s="6">
        <v>104</v>
      </c>
      <c r="B105" s="9" t="s">
        <v>75</v>
      </c>
      <c r="C105" s="10"/>
      <c r="D105" s="10"/>
      <c r="E105" s="10"/>
      <c r="F105" s="11"/>
    </row>
  </sheetData>
  <sortState xmlns:xlrd2="http://schemas.microsoft.com/office/spreadsheetml/2017/richdata2" ref="K2:K49">
    <sortCondition ref="K2:K49"/>
  </sortState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356F-FEA6-43D2-928A-3885971F44EC}">
  <sheetPr>
    <tabColor theme="3" tint="0.39997558519241921"/>
  </sheetPr>
  <dimension ref="B2:E50"/>
  <sheetViews>
    <sheetView workbookViewId="0">
      <selection activeCell="H14" sqref="G3:H14"/>
    </sheetView>
  </sheetViews>
  <sheetFormatPr defaultRowHeight="14.4" x14ac:dyDescent="0.3"/>
  <cols>
    <col min="2" max="2" width="20.5546875" bestFit="1" customWidth="1"/>
    <col min="3" max="3" width="8.44140625" bestFit="1" customWidth="1"/>
    <col min="4" max="4" width="7.77734375" bestFit="1" customWidth="1"/>
    <col min="5" max="5" width="13.44140625" bestFit="1" customWidth="1"/>
    <col min="8" max="8" width="14.44140625" bestFit="1" customWidth="1"/>
  </cols>
  <sheetData>
    <row r="2" spans="2:5" x14ac:dyDescent="0.3">
      <c r="B2" s="13" t="s">
        <v>60</v>
      </c>
      <c r="C2" s="18" t="s">
        <v>76</v>
      </c>
      <c r="D2" s="18" t="s">
        <v>83</v>
      </c>
      <c r="E2" s="12" t="s">
        <v>90</v>
      </c>
    </row>
    <row r="3" spans="2:5" x14ac:dyDescent="0.3">
      <c r="B3" s="6" t="s">
        <v>8</v>
      </c>
      <c r="C3" s="7" t="s">
        <v>77</v>
      </c>
      <c r="D3" s="7">
        <f>SUM(SUMIF(Fact_Matches!$C$2:$C$73,Table8[[#This Row],[Teams]],Fact_Matches!$E$2:$E$73),SUMIF(Fact_Matches!$D$2:$D$73,Table8[[#This Row],[Teams]],Fact_Matches!$F$2:$F$73))</f>
        <v>2</v>
      </c>
      <c r="E3" s="8">
        <v>40</v>
      </c>
    </row>
    <row r="4" spans="2:5" x14ac:dyDescent="0.3">
      <c r="B4" s="6" t="s">
        <v>2</v>
      </c>
      <c r="C4" s="7" t="s">
        <v>77</v>
      </c>
      <c r="D4" s="7">
        <f>SUM(SUMIF(Fact_Matches!$C$2:$C$73,Table8[[#This Row],[Teams]],Fact_Matches!$E$2:$E$73),SUMIF(Fact_Matches!$D$2:$D$73,Table8[[#This Row],[Teams]],Fact_Matches!$F$2:$F$73))</f>
        <v>6</v>
      </c>
      <c r="E4" s="8">
        <v>14</v>
      </c>
    </row>
    <row r="5" spans="2:5" x14ac:dyDescent="0.3">
      <c r="B5" s="6" t="s">
        <v>4</v>
      </c>
      <c r="C5" s="7" t="s">
        <v>77</v>
      </c>
      <c r="D5" s="7">
        <f>SUM(SUMIF(Fact_Matches!$C$2:$C$73,Table8[[#This Row],[Teams]],Fact_Matches!$E$2:$E$73),SUMIF(Fact_Matches!$D$2:$D$73,Table8[[#This Row],[Teams]],Fact_Matches!$F$2:$F$73))</f>
        <v>2</v>
      </c>
      <c r="E5" s="8">
        <v>60</v>
      </c>
    </row>
    <row r="6" spans="2:5" x14ac:dyDescent="0.3">
      <c r="B6" s="6" t="s">
        <v>6</v>
      </c>
      <c r="C6" s="7" t="s">
        <v>77</v>
      </c>
      <c r="D6" s="7">
        <f>SUM(SUMIF(Fact_Matches!$C$2:$C$73,Table8[[#This Row],[Teams]],Fact_Matches!$E$2:$E$73),SUMIF(Fact_Matches!$D$2:$D$73,Table8[[#This Row],[Teams]],Fact_Matches!$F$2:$F$73))</f>
        <v>2</v>
      </c>
      <c r="E6" s="8">
        <v>25</v>
      </c>
    </row>
    <row r="7" spans="2:5" x14ac:dyDescent="0.3">
      <c r="B7" s="6" t="s">
        <v>11</v>
      </c>
      <c r="C7" s="7" t="s">
        <v>82</v>
      </c>
      <c r="D7" s="7">
        <f>SUM(SUMIF(Fact_Matches!$C$2:$C$73,Table8[[#This Row],[Teams]],Fact_Matches!$E$2:$E$73),SUMIF(Fact_Matches!$D$2:$D$73,Table8[[#This Row],[Teams]],Fact_Matches!$F$2:$F$73))</f>
        <v>5</v>
      </c>
      <c r="E7" s="8">
        <v>64</v>
      </c>
    </row>
    <row r="8" spans="2:5" x14ac:dyDescent="0.3">
      <c r="B8" s="6" t="s">
        <v>10</v>
      </c>
      <c r="C8" s="7" t="s">
        <v>82</v>
      </c>
      <c r="D8" s="7">
        <f>SUM(SUMIF(Fact_Matches!$C$2:$C$73,Table8[[#This Row],[Teams]],Fact_Matches!$E$2:$E$73),SUMIF(Fact_Matches!$D$2:$D$73,Table8[[#This Row],[Teams]],Fact_Matches!$F$2:$F$73))</f>
        <v>8</v>
      </c>
      <c r="E8" s="8">
        <v>30</v>
      </c>
    </row>
    <row r="9" spans="2:5" x14ac:dyDescent="0.3">
      <c r="B9" s="6" t="s">
        <v>12</v>
      </c>
      <c r="C9" s="7" t="s">
        <v>82</v>
      </c>
      <c r="D9" s="7">
        <f>SUM(SUMIF(Fact_Matches!$C$2:$C$73,Table8[[#This Row],[Teams]],Fact_Matches!$E$2:$E$73),SUMIF(Fact_Matches!$D$2:$D$73,Table8[[#This Row],[Teams]],Fact_Matches!$F$2:$F$73))</f>
        <v>2</v>
      </c>
      <c r="E9" s="8">
        <v>56</v>
      </c>
    </row>
    <row r="10" spans="2:5" x14ac:dyDescent="0.3">
      <c r="B10" s="6" t="s">
        <v>13</v>
      </c>
      <c r="C10" s="7" t="s">
        <v>82</v>
      </c>
      <c r="D10" s="7">
        <f>SUM(SUMIF(Fact_Matches!$C$2:$C$73,Table8[[#This Row],[Teams]],Fact_Matches!$E$2:$E$73),SUMIF(Fact_Matches!$D$2:$D$73,Table8[[#This Row],[Teams]],Fact_Matches!$F$2:$F$73))</f>
        <v>7</v>
      </c>
      <c r="E10" s="8">
        <v>19</v>
      </c>
    </row>
    <row r="11" spans="2:5" x14ac:dyDescent="0.3">
      <c r="B11" s="6" t="s">
        <v>14</v>
      </c>
      <c r="C11" s="7" t="s">
        <v>78</v>
      </c>
      <c r="D11" s="7">
        <f>SUM(SUMIF(Fact_Matches!$C$2:$C$73,Table8[[#This Row],[Teams]],Fact_Matches!$E$2:$E$73),SUMIF(Fact_Matches!$D$2:$D$73,Table8[[#This Row],[Teams]],Fact_Matches!$F$2:$F$73))</f>
        <v>7</v>
      </c>
      <c r="E11" s="8">
        <v>6</v>
      </c>
    </row>
    <row r="12" spans="2:5" x14ac:dyDescent="0.3">
      <c r="B12" s="6" t="s">
        <v>17</v>
      </c>
      <c r="C12" s="7" t="s">
        <v>78</v>
      </c>
      <c r="D12" s="7">
        <f>SUM(SUMIF(Fact_Matches!$C$2:$C$73,Table8[[#This Row],[Teams]],Fact_Matches!$E$2:$E$73),SUMIF(Fact_Matches!$D$2:$D$73,Table8[[#This Row],[Teams]],Fact_Matches!$F$2:$F$73))</f>
        <v>2</v>
      </c>
      <c r="E12" s="8">
        <v>83</v>
      </c>
    </row>
    <row r="13" spans="2:5" x14ac:dyDescent="0.3">
      <c r="B13" s="6" t="s">
        <v>16</v>
      </c>
      <c r="C13" s="7" t="s">
        <v>78</v>
      </c>
      <c r="D13" s="7">
        <f>SUM(SUMIF(Fact_Matches!$C$2:$C$73,Table8[[#This Row],[Teams]],Fact_Matches!$E$2:$E$73),SUMIF(Fact_Matches!$D$2:$D$73,Table8[[#This Row],[Teams]],Fact_Matches!$F$2:$F$73))</f>
        <v>6</v>
      </c>
      <c r="E13" s="8">
        <v>7</v>
      </c>
    </row>
    <row r="14" spans="2:5" x14ac:dyDescent="0.3">
      <c r="B14" s="6" t="s">
        <v>18</v>
      </c>
      <c r="C14" s="7" t="s">
        <v>78</v>
      </c>
      <c r="D14" s="7">
        <f>SUM(SUMIF(Fact_Matches!$C$2:$C$73,Table8[[#This Row],[Teams]],Fact_Matches!$E$2:$E$73),SUMIF(Fact_Matches!$D$2:$D$73,Table8[[#This Row],[Teams]],Fact_Matches!$F$2:$F$73))</f>
        <v>1</v>
      </c>
      <c r="E14" s="8">
        <v>42</v>
      </c>
    </row>
    <row r="15" spans="2:5" x14ac:dyDescent="0.3">
      <c r="B15" s="6" t="s">
        <v>21</v>
      </c>
      <c r="C15" s="7" t="s">
        <v>84</v>
      </c>
      <c r="D15" s="7">
        <f>SUM(SUMIF(Fact_Matches!$C$2:$C$73,Table8[[#This Row],[Teams]],Fact_Matches!$E$2:$E$73),SUMIF(Fact_Matches!$D$2:$D$73,Table8[[#This Row],[Teams]],Fact_Matches!$F$2:$F$73))</f>
        <v>2</v>
      </c>
      <c r="E15" s="8">
        <v>27</v>
      </c>
    </row>
    <row r="16" spans="2:5" x14ac:dyDescent="0.3">
      <c r="B16" s="6" t="s">
        <v>20</v>
      </c>
      <c r="C16" s="7" t="s">
        <v>84</v>
      </c>
      <c r="D16" s="7">
        <f>SUM(SUMIF(Fact_Matches!$C$2:$C$73,Table8[[#This Row],[Teams]],Fact_Matches!$E$2:$E$73),SUMIF(Fact_Matches!$D$2:$D$73,Table8[[#This Row],[Teams]],Fact_Matches!$F$2:$F$73))</f>
        <v>2</v>
      </c>
      <c r="E16" s="8">
        <v>41</v>
      </c>
    </row>
    <row r="17" spans="2:5" x14ac:dyDescent="0.3">
      <c r="B17" s="6" t="s">
        <v>23</v>
      </c>
      <c r="C17" s="7" t="s">
        <v>84</v>
      </c>
      <c r="D17" s="7">
        <f>SUM(SUMIF(Fact_Matches!$C$2:$C$73,Table8[[#This Row],[Teams]],Fact_Matches!$E$2:$E$73),SUMIF(Fact_Matches!$D$2:$D$73,Table8[[#This Row],[Teams]],Fact_Matches!$F$2:$F$73))</f>
        <v>3</v>
      </c>
      <c r="E17" s="8">
        <v>22</v>
      </c>
    </row>
    <row r="18" spans="2:5" x14ac:dyDescent="0.3">
      <c r="B18" s="6" t="s">
        <v>19</v>
      </c>
      <c r="C18" s="7" t="s">
        <v>84</v>
      </c>
      <c r="D18" s="7">
        <f>SUM(SUMIF(Fact_Matches!$C$2:$C$73,Table8[[#This Row],[Teams]],Fact_Matches!$E$2:$E$73),SUMIF(Fact_Matches!$D$2:$D$73,Table8[[#This Row],[Teams]],Fact_Matches!$F$2:$F$73))</f>
        <v>8</v>
      </c>
      <c r="E18" s="8">
        <v>17</v>
      </c>
    </row>
    <row r="19" spans="2:5" x14ac:dyDescent="0.3">
      <c r="B19" s="6" t="s">
        <v>25</v>
      </c>
      <c r="C19" s="7" t="s">
        <v>81</v>
      </c>
      <c r="D19" s="7">
        <f>SUM(SUMIF(Fact_Matches!$C$2:$C$73,Table8[[#This Row],[Teams]],Fact_Matches!$E$2:$E$73),SUMIF(Fact_Matches!$D$2:$D$73,Table8[[#This Row],[Teams]],Fact_Matches!$F$2:$F$73))</f>
        <v>1</v>
      </c>
      <c r="E19" s="8">
        <v>82</v>
      </c>
    </row>
    <row r="20" spans="2:5" x14ac:dyDescent="0.3">
      <c r="B20" s="6" t="s">
        <v>27</v>
      </c>
      <c r="C20" s="7" t="s">
        <v>81</v>
      </c>
      <c r="D20" s="7">
        <f>SUM(SUMIF(Fact_Matches!$C$2:$C$73,Table8[[#This Row],[Teams]],Fact_Matches!$E$2:$E$73),SUMIF(Fact_Matches!$D$2:$D$73,Table8[[#This Row],[Teams]],Fact_Matches!$F$2:$F$73))</f>
        <v>2</v>
      </c>
      <c r="E20" s="8">
        <v>23</v>
      </c>
    </row>
    <row r="21" spans="2:5" x14ac:dyDescent="0.3">
      <c r="B21" s="6" t="s">
        <v>24</v>
      </c>
      <c r="C21" s="7" t="s">
        <v>81</v>
      </c>
      <c r="D21" s="7">
        <f>SUM(SUMIF(Fact_Matches!$C$2:$C$73,Table8[[#This Row],[Teams]],Fact_Matches!$E$2:$E$73),SUMIF(Fact_Matches!$D$2:$D$73,Table8[[#This Row],[Teams]],Fact_Matches!$F$2:$F$73))</f>
        <v>10</v>
      </c>
      <c r="E21" s="8">
        <v>10</v>
      </c>
    </row>
    <row r="22" spans="2:5" x14ac:dyDescent="0.3">
      <c r="B22" s="6" t="s">
        <v>26</v>
      </c>
      <c r="C22" s="7" t="s">
        <v>81</v>
      </c>
      <c r="D22" s="7">
        <f>SUM(SUMIF(Fact_Matches!$C$2:$C$73,Table8[[#This Row],[Teams]],Fact_Matches!$E$2:$E$73),SUMIF(Fact_Matches!$D$2:$D$73,Table8[[#This Row],[Teams]],Fact_Matches!$F$2:$F$73))</f>
        <v>4</v>
      </c>
      <c r="E22" s="8">
        <v>33</v>
      </c>
    </row>
    <row r="23" spans="2:5" x14ac:dyDescent="0.3">
      <c r="B23" s="6" t="s">
        <v>29</v>
      </c>
      <c r="C23" s="7" t="s">
        <v>85</v>
      </c>
      <c r="D23" s="7">
        <f>SUM(SUMIF(Fact_Matches!$C$2:$C$73,Table8[[#This Row],[Teams]],Fact_Matches!$E$2:$E$73),SUMIF(Fact_Matches!$D$2:$D$73,Table8[[#This Row],[Teams]],Fact_Matches!$F$2:$F$73))</f>
        <v>7</v>
      </c>
      <c r="E23" s="8">
        <v>18</v>
      </c>
    </row>
    <row r="24" spans="2:5" x14ac:dyDescent="0.3">
      <c r="B24" s="6" t="s">
        <v>28</v>
      </c>
      <c r="C24" s="7" t="s">
        <v>85</v>
      </c>
      <c r="D24" s="7">
        <f>SUM(SUMIF(Fact_Matches!$C$2:$C$73,Table8[[#This Row],[Teams]],Fact_Matches!$E$2:$E$73),SUMIF(Fact_Matches!$D$2:$D$73,Table8[[#This Row],[Teams]],Fact_Matches!$F$2:$F$73))</f>
        <v>10</v>
      </c>
      <c r="E24" s="8">
        <v>8</v>
      </c>
    </row>
    <row r="25" spans="2:5" x14ac:dyDescent="0.3">
      <c r="B25" s="6" t="s">
        <v>30</v>
      </c>
      <c r="C25" s="7" t="s">
        <v>85</v>
      </c>
      <c r="D25" s="7">
        <f>SUM(SUMIF(Fact_Matches!$C$2:$C$73,Table8[[#This Row],[Teams]],Fact_Matches!$E$2:$E$73),SUMIF(Fact_Matches!$D$2:$D$73,Table8[[#This Row],[Teams]],Fact_Matches!$F$2:$F$73))</f>
        <v>7</v>
      </c>
      <c r="E25" s="8">
        <v>38</v>
      </c>
    </row>
    <row r="26" spans="2:5" x14ac:dyDescent="0.3">
      <c r="B26" s="6" t="s">
        <v>31</v>
      </c>
      <c r="C26" s="7" t="s">
        <v>85</v>
      </c>
      <c r="D26" s="7">
        <f>SUM(SUMIF(Fact_Matches!$C$2:$C$73,Table8[[#This Row],[Teams]],Fact_Matches!$E$2:$E$73),SUMIF(Fact_Matches!$D$2:$D$73,Table8[[#This Row],[Teams]],Fact_Matches!$F$2:$F$73))</f>
        <v>2</v>
      </c>
      <c r="E26" s="8">
        <v>45</v>
      </c>
    </row>
    <row r="27" spans="2:5" x14ac:dyDescent="0.3">
      <c r="B27" s="6" t="s">
        <v>32</v>
      </c>
      <c r="C27" s="7" t="s">
        <v>86</v>
      </c>
      <c r="D27" s="7">
        <f>SUM(SUMIF(Fact_Matches!$C$2:$C$73,Table8[[#This Row],[Teams]],Fact_Matches!$E$2:$E$73),SUMIF(Fact_Matches!$D$2:$D$73,Table8[[#This Row],[Teams]],Fact_Matches!$F$2:$F$73))</f>
        <v>6</v>
      </c>
      <c r="E27" s="8">
        <v>9</v>
      </c>
    </row>
    <row r="28" spans="2:5" x14ac:dyDescent="0.3">
      <c r="B28" s="6" t="s">
        <v>33</v>
      </c>
      <c r="C28" s="7" t="s">
        <v>86</v>
      </c>
      <c r="D28" s="7">
        <f>SUM(SUMIF(Fact_Matches!$C$2:$C$73,Table8[[#This Row],[Teams]],Fact_Matches!$E$2:$E$73),SUMIF(Fact_Matches!$D$2:$D$73,Table8[[#This Row],[Teams]],Fact_Matches!$F$2:$F$73))</f>
        <v>5</v>
      </c>
      <c r="E28" s="8">
        <v>29</v>
      </c>
    </row>
    <row r="29" spans="2:5" x14ac:dyDescent="0.3">
      <c r="B29" s="6" t="s">
        <v>34</v>
      </c>
      <c r="C29" s="7" t="s">
        <v>86</v>
      </c>
      <c r="D29" s="7">
        <f>SUM(SUMIF(Fact_Matches!$C$2:$C$73,Table8[[#This Row],[Teams]],Fact_Matches!$E$2:$E$73),SUMIF(Fact_Matches!$D$2:$D$73,Table8[[#This Row],[Teams]],Fact_Matches!$F$2:$F$73))</f>
        <v>3</v>
      </c>
      <c r="E29" s="8">
        <v>20</v>
      </c>
    </row>
    <row r="30" spans="2:5" x14ac:dyDescent="0.3">
      <c r="B30" s="6" t="s">
        <v>35</v>
      </c>
      <c r="C30" s="7" t="s">
        <v>86</v>
      </c>
      <c r="D30" s="7">
        <f>SUM(SUMIF(Fact_Matches!$C$2:$C$73,Table8[[#This Row],[Teams]],Fact_Matches!$E$2:$E$73),SUMIF(Fact_Matches!$D$2:$D$73,Table8[[#This Row],[Teams]],Fact_Matches!$F$2:$F$73))</f>
        <v>4</v>
      </c>
      <c r="E30" s="8">
        <v>85</v>
      </c>
    </row>
    <row r="31" spans="2:5" x14ac:dyDescent="0.3">
      <c r="B31" s="6" t="s">
        <v>37</v>
      </c>
      <c r="C31" s="7" t="s">
        <v>79</v>
      </c>
      <c r="D31" s="7">
        <f>SUM(SUMIF(Fact_Matches!$C$2:$C$73,Table8[[#This Row],[Teams]],Fact_Matches!$E$2:$E$73),SUMIF(Fact_Matches!$D$2:$D$73,Table8[[#This Row],[Teams]],Fact_Matches!$F$2:$F$73))</f>
        <v>2</v>
      </c>
      <c r="E31" s="8">
        <v>67</v>
      </c>
    </row>
    <row r="32" spans="2:5" x14ac:dyDescent="0.3">
      <c r="B32" s="6" t="s">
        <v>38</v>
      </c>
      <c r="C32" s="7" t="s">
        <v>79</v>
      </c>
      <c r="D32" s="7">
        <f>SUM(SUMIF(Fact_Matches!$C$2:$C$73,Table8[[#This Row],[Teams]],Fact_Matches!$E$2:$E$73),SUMIF(Fact_Matches!$D$2:$D$73,Table8[[#This Row],[Teams]],Fact_Matches!$F$2:$F$73))</f>
        <v>1</v>
      </c>
      <c r="E32" s="8">
        <v>61</v>
      </c>
    </row>
    <row r="33" spans="2:5" x14ac:dyDescent="0.3">
      <c r="B33" s="6" t="s">
        <v>36</v>
      </c>
      <c r="C33" s="7" t="s">
        <v>79</v>
      </c>
      <c r="D33" s="7">
        <f>SUM(SUMIF(Fact_Matches!$C$2:$C$73,Table8[[#This Row],[Teams]],Fact_Matches!$E$2:$E$73),SUMIF(Fact_Matches!$D$2:$D$73,Table8[[#This Row],[Teams]],Fact_Matches!$F$2:$F$73))</f>
        <v>5</v>
      </c>
      <c r="E33" s="8">
        <v>2</v>
      </c>
    </row>
    <row r="34" spans="2:5" x14ac:dyDescent="0.3">
      <c r="B34" s="6" t="s">
        <v>39</v>
      </c>
      <c r="C34" s="7" t="s">
        <v>79</v>
      </c>
      <c r="D34" s="7">
        <f>SUM(SUMIF(Fact_Matches!$C$2:$C$73,Table8[[#This Row],[Teams]],Fact_Matches!$E$2:$E$73),SUMIF(Fact_Matches!$D$2:$D$73,Table8[[#This Row],[Teams]],Fact_Matches!$F$2:$F$73))</f>
        <v>3</v>
      </c>
      <c r="E34" s="8">
        <v>16</v>
      </c>
    </row>
    <row r="35" spans="2:5" x14ac:dyDescent="0.3">
      <c r="B35" s="6" t="s">
        <v>40</v>
      </c>
      <c r="C35" s="7" t="s">
        <v>87</v>
      </c>
      <c r="D35" s="7">
        <f>SUM(SUMIF(Fact_Matches!$C$2:$C$73,Table8[[#This Row],[Teams]],Fact_Matches!$E$2:$E$73),SUMIF(Fact_Matches!$D$2:$D$73,Table8[[#This Row],[Teams]],Fact_Matches!$F$2:$F$73))</f>
        <v>10</v>
      </c>
      <c r="E35" s="8">
        <v>3</v>
      </c>
    </row>
    <row r="36" spans="2:5" x14ac:dyDescent="0.3">
      <c r="B36" s="6" t="s">
        <v>42</v>
      </c>
      <c r="C36" s="7" t="s">
        <v>87</v>
      </c>
      <c r="D36" s="7">
        <f>SUM(SUMIF(Fact_Matches!$C$2:$C$73,Table8[[#This Row],[Teams]],Fact_Matches!$E$2:$E$73),SUMIF(Fact_Matches!$D$2:$D$73,Table8[[#This Row],[Teams]],Fact_Matches!$F$2:$F$73))</f>
        <v>1</v>
      </c>
      <c r="E36" s="8">
        <v>57</v>
      </c>
    </row>
    <row r="37" spans="2:5" x14ac:dyDescent="0.3">
      <c r="B37" s="6" t="s">
        <v>43</v>
      </c>
      <c r="C37" s="7" t="s">
        <v>87</v>
      </c>
      <c r="D37" s="7">
        <f>SUM(SUMIF(Fact_Matches!$C$2:$C$73,Table8[[#This Row],[Teams]],Fact_Matches!$E$2:$E$73),SUMIF(Fact_Matches!$D$2:$D$73,Table8[[#This Row],[Teams]],Fact_Matches!$F$2:$F$73))</f>
        <v>8</v>
      </c>
      <c r="E37" s="8">
        <v>31</v>
      </c>
    </row>
    <row r="38" spans="2:5" x14ac:dyDescent="0.3">
      <c r="B38" s="6" t="s">
        <v>41</v>
      </c>
      <c r="C38" s="7" t="s">
        <v>87</v>
      </c>
      <c r="D38" s="7">
        <f>SUM(SUMIF(Fact_Matches!$C$2:$C$73,Table8[[#This Row],[Teams]],Fact_Matches!$E$2:$E$73),SUMIF(Fact_Matches!$D$2:$D$73,Table8[[#This Row],[Teams]],Fact_Matches!$F$2:$F$73))</f>
        <v>8</v>
      </c>
      <c r="E38" s="8">
        <v>15</v>
      </c>
    </row>
    <row r="39" spans="2:5" x14ac:dyDescent="0.3">
      <c r="B39" s="6" t="s">
        <v>45</v>
      </c>
      <c r="C39" s="7" t="s">
        <v>80</v>
      </c>
      <c r="D39" s="7">
        <f>SUM(SUMIF(Fact_Matches!$C$2:$C$73,Table8[[#This Row],[Teams]],Fact_Matches!$E$2:$E$73),SUMIF(Fact_Matches!$D$2:$D$73,Table8[[#This Row],[Teams]],Fact_Matches!$F$2:$F$73))</f>
        <v>5</v>
      </c>
      <c r="E39" s="8">
        <v>28</v>
      </c>
    </row>
    <row r="40" spans="2:5" x14ac:dyDescent="0.3">
      <c r="B40" s="6" t="s">
        <v>44</v>
      </c>
      <c r="C40" s="7" t="s">
        <v>80</v>
      </c>
      <c r="D40" s="7">
        <f>SUM(SUMIF(Fact_Matches!$C$2:$C$73,Table8[[#This Row],[Teams]],Fact_Matches!$E$2:$E$73),SUMIF(Fact_Matches!$D$2:$D$73,Table8[[#This Row],[Teams]],Fact_Matches!$F$2:$F$73))</f>
        <v>8</v>
      </c>
      <c r="E40" s="8">
        <v>1</v>
      </c>
    </row>
    <row r="41" spans="2:5" x14ac:dyDescent="0.3">
      <c r="B41" s="6" t="s">
        <v>46</v>
      </c>
      <c r="C41" s="7" t="s">
        <v>80</v>
      </c>
      <c r="D41" s="7">
        <f>SUM(SUMIF(Fact_Matches!$C$2:$C$73,Table8[[#This Row],[Teams]],Fact_Matches!$E$2:$E$73),SUMIF(Fact_Matches!$D$2:$D$73,Table8[[#This Row],[Teams]],Fact_Matches!$F$2:$F$73))</f>
        <v>6</v>
      </c>
      <c r="E41" s="8">
        <v>24</v>
      </c>
    </row>
    <row r="42" spans="2:5" x14ac:dyDescent="0.3">
      <c r="B42" s="6" t="s">
        <v>47</v>
      </c>
      <c r="C42" s="7" t="s">
        <v>80</v>
      </c>
      <c r="D42" s="7">
        <f>SUM(SUMIF(Fact_Matches!$C$2:$C$73,Table8[[#This Row],[Teams]],Fact_Matches!$E$2:$E$73),SUMIF(Fact_Matches!$D$2:$D$73,Table8[[#This Row],[Teams]],Fact_Matches!$F$2:$F$73))</f>
        <v>3</v>
      </c>
      <c r="E42" s="8">
        <v>63</v>
      </c>
    </row>
    <row r="43" spans="2:5" x14ac:dyDescent="0.3">
      <c r="B43" s="6" t="s">
        <v>51</v>
      </c>
      <c r="C43" s="7" t="s">
        <v>89</v>
      </c>
      <c r="D43" s="7">
        <f>SUM(SUMIF(Fact_Matches!$C$2:$C$73,Table8[[#This Row],[Teams]],Fact_Matches!$E$2:$E$73),SUMIF(Fact_Matches!$D$2:$D$73,Table8[[#This Row],[Teams]],Fact_Matches!$F$2:$F$73))</f>
        <v>4</v>
      </c>
      <c r="E43" s="8">
        <v>13</v>
      </c>
    </row>
    <row r="44" spans="2:5" x14ac:dyDescent="0.3">
      <c r="B44" s="6" t="s">
        <v>49</v>
      </c>
      <c r="C44" s="7" t="s">
        <v>89</v>
      </c>
      <c r="D44" s="7">
        <f>SUM(SUMIF(Fact_Matches!$C$2:$C$73,Table8[[#This Row],[Teams]],Fact_Matches!$E$2:$E$73),SUMIF(Fact_Matches!$D$2:$D$73,Table8[[#This Row],[Teams]],Fact_Matches!$F$2:$F$73))</f>
        <v>4</v>
      </c>
      <c r="E44" s="8">
        <v>46</v>
      </c>
    </row>
    <row r="45" spans="2:5" x14ac:dyDescent="0.3">
      <c r="B45" s="6" t="s">
        <v>48</v>
      </c>
      <c r="C45" s="7" t="s">
        <v>89</v>
      </c>
      <c r="D45" s="7">
        <f>SUM(SUMIF(Fact_Matches!$C$2:$C$73,Table8[[#This Row],[Teams]],Fact_Matches!$E$2:$E$73),SUMIF(Fact_Matches!$D$2:$D$73,Table8[[#This Row],[Teams]],Fact_Matches!$F$2:$F$73))</f>
        <v>6</v>
      </c>
      <c r="E45" s="8">
        <v>5</v>
      </c>
    </row>
    <row r="46" spans="2:5" x14ac:dyDescent="0.3">
      <c r="B46" s="6" t="s">
        <v>50</v>
      </c>
      <c r="C46" s="7" t="s">
        <v>89</v>
      </c>
      <c r="D46" s="7">
        <f>SUM(SUMIF(Fact_Matches!$C$2:$C$73,Table8[[#This Row],[Teams]],Fact_Matches!$E$2:$E$73),SUMIF(Fact_Matches!$D$2:$D$73,Table8[[#This Row],[Teams]],Fact_Matches!$F$2:$F$73))</f>
        <v>2</v>
      </c>
      <c r="E46" s="8">
        <v>50</v>
      </c>
    </row>
    <row r="47" spans="2:5" x14ac:dyDescent="0.3">
      <c r="B47" s="6" t="s">
        <v>53</v>
      </c>
      <c r="C47" s="7" t="s">
        <v>88</v>
      </c>
      <c r="D47" s="7">
        <f>SUM(SUMIF(Fact_Matches!$C$2:$C$73,Table8[[#This Row],[Teams]],Fact_Matches!$E$2:$E$73),SUMIF(Fact_Matches!$D$2:$D$73,Table8[[#This Row],[Teams]],Fact_Matches!$F$2:$F$73))</f>
        <v>5</v>
      </c>
      <c r="E47" s="8">
        <v>11</v>
      </c>
    </row>
    <row r="48" spans="2:5" x14ac:dyDescent="0.3">
      <c r="B48" s="6" t="s">
        <v>52</v>
      </c>
      <c r="C48" s="7" t="s">
        <v>88</v>
      </c>
      <c r="D48" s="7">
        <f>SUM(SUMIF(Fact_Matches!$C$2:$C$73,Table8[[#This Row],[Teams]],Fact_Matches!$E$2:$E$73),SUMIF(Fact_Matches!$D$2:$D$73,Table8[[#This Row],[Teams]],Fact_Matches!$F$2:$F$73))</f>
        <v>6</v>
      </c>
      <c r="E48" s="8">
        <v>4</v>
      </c>
    </row>
    <row r="49" spans="2:5" x14ac:dyDescent="0.3">
      <c r="B49" s="6" t="s">
        <v>54</v>
      </c>
      <c r="C49" s="7" t="s">
        <v>88</v>
      </c>
      <c r="D49" s="7">
        <f>SUM(SUMIF(Fact_Matches!$C$2:$C$73,Table8[[#This Row],[Teams]],Fact_Matches!$E$2:$E$73),SUMIF(Fact_Matches!$D$2:$D$73,Table8[[#This Row],[Teams]],Fact_Matches!$F$2:$F$73))</f>
        <v>2</v>
      </c>
      <c r="E49" s="8">
        <v>73</v>
      </c>
    </row>
    <row r="50" spans="2:5" x14ac:dyDescent="0.3">
      <c r="B50" s="9" t="s">
        <v>55</v>
      </c>
      <c r="C50" s="10" t="s">
        <v>88</v>
      </c>
      <c r="D50" s="10">
        <f>SUM(SUMIF(Fact_Matches!$C$2:$C$73,Table8[[#This Row],[Teams]],Fact_Matches!$E$2:$E$73),SUMIF(Fact_Matches!$D$2:$D$73,Table8[[#This Row],[Teams]],Fact_Matches!$F$2:$F$73))</f>
        <v>0</v>
      </c>
      <c r="E50" s="11">
        <v>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Dim_Teams</vt:lpstr>
      <vt:lpstr>Dim_Ranking</vt:lpstr>
      <vt:lpstr>Fact_Matches</vt:lpstr>
      <vt:lpstr>Dim_Group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Omokiikan</cp:lastModifiedBy>
  <cp:lastPrinted>2026-06-29T14:01:50Z</cp:lastPrinted>
  <dcterms:created xsi:type="dcterms:W3CDTF">2026-06-21T23:55:09Z</dcterms:created>
  <dcterms:modified xsi:type="dcterms:W3CDTF">2026-07-05T22:52:32Z</dcterms:modified>
</cp:coreProperties>
</file>